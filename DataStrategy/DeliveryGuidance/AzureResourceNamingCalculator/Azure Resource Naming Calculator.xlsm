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8"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chrislound/Documents/repos/Data Strategy Reference Implementation/DataStrategy/DeliveryGuidance/AzureResourceNamingCalculator/"/>
    </mc:Choice>
  </mc:AlternateContent>
  <xr:revisionPtr revIDLastSave="0" documentId="13_ncr:1_{59E60CA3-2E85-A347-82F7-2D6E0AA273E8}" xr6:coauthVersionLast="47" xr6:coauthVersionMax="47" xr10:uidLastSave="{00000000-0000-0000-0000-000000000000}"/>
  <bookViews>
    <workbookView minimized="1" xWindow="0" yWindow="760" windowWidth="34560" windowHeight="19880" activeTab="1" xr2:uid="{00000000-000D-0000-FFFF-FFFF00000000}"/>
  </bookViews>
  <sheets>
    <sheet name="Intro" sheetId="6" r:id="rId1"/>
    <sheet name="Data" sheetId="11" r:id="rId2"/>
    <sheet name="LookupLists" sheetId="3" r:id="rId3"/>
  </sheets>
  <functionGroups builtInGroupCount="19"/>
  <definedNames>
    <definedName name="AzureRegions">LookupLists!$A$4:INDEX(LookupLists!$A$4:$A$1000,SUMPRODUCT(--(LookupLists!$A$4:$A$1000&lt;&gt;"")))</definedName>
    <definedName name="AzureResourceTypes" localSheetId="1">Table1[Resource Type]</definedName>
    <definedName name="AzureResourceTypes">Table1[Resource Type]</definedName>
    <definedName name="AzureRootResourceTypes">LookupLists!$N$4:INDEX(LookupLists!$N$4:$N$991,SUMPRODUCT(--(LookupLists!$N$4:$N$991&lt;&gt;"")))</definedName>
    <definedName name="Casing">LookupLists!#REF!</definedName>
    <definedName name="Data">Table1[Resource Type]</definedName>
    <definedName name="Environments">LookupLists!$I$4:INDEX(LookupLists!$I$4:$I$1000,SUMPRODUCT(--(LookupLists!$I$4:$I$1000&lt;&gt;"")))</definedName>
    <definedName name="Integrations_Data">Table1[Resource Type]</definedName>
    <definedName name="IntegrationsDataTeam">Table1[Resource Type]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29" i="11" l="1"/>
  <c r="V29" i="11"/>
  <c r="U29" i="11"/>
  <c r="T29" i="11"/>
  <c r="S29" i="11"/>
  <c r="R29" i="11"/>
  <c r="Q29" i="11"/>
  <c r="P29" i="11"/>
  <c r="O29" i="11"/>
  <c r="N29" i="11"/>
  <c r="M29" i="11"/>
  <c r="L29" i="11"/>
  <c r="K29" i="11"/>
  <c r="J29" i="11"/>
  <c r="I29" i="11"/>
  <c r="W28" i="11"/>
  <c r="V28" i="11"/>
  <c r="U28" i="11"/>
  <c r="T28" i="11"/>
  <c r="S28" i="11"/>
  <c r="R28" i="11"/>
  <c r="Q28" i="11"/>
  <c r="P28" i="11"/>
  <c r="O28" i="11"/>
  <c r="N28" i="11"/>
  <c r="M28" i="11"/>
  <c r="L28" i="11"/>
  <c r="K28" i="11"/>
  <c r="J28" i="11"/>
  <c r="I28" i="11"/>
  <c r="W27" i="11"/>
  <c r="V27" i="11"/>
  <c r="U27" i="11"/>
  <c r="T27" i="11"/>
  <c r="S27" i="11"/>
  <c r="R27" i="11"/>
  <c r="Q27" i="11"/>
  <c r="P27" i="11"/>
  <c r="O27" i="11"/>
  <c r="N27" i="11"/>
  <c r="M27" i="11"/>
  <c r="L27" i="11"/>
  <c r="K27" i="11"/>
  <c r="J27" i="11"/>
  <c r="I27" i="11"/>
  <c r="W26" i="11"/>
  <c r="V26" i="11"/>
  <c r="U26" i="11"/>
  <c r="T26" i="11"/>
  <c r="S26" i="11"/>
  <c r="R26" i="11"/>
  <c r="Q26" i="11"/>
  <c r="P26" i="11"/>
  <c r="O26" i="11"/>
  <c r="N26" i="11"/>
  <c r="M26" i="11"/>
  <c r="L26" i="11"/>
  <c r="K26" i="11"/>
  <c r="J26" i="11"/>
  <c r="I26" i="11"/>
  <c r="W39" i="11"/>
  <c r="V39" i="11"/>
  <c r="U39" i="11"/>
  <c r="T39" i="11"/>
  <c r="S39" i="11"/>
  <c r="R39" i="11"/>
  <c r="Q39" i="11"/>
  <c r="P39" i="11"/>
  <c r="O39" i="11"/>
  <c r="N39" i="11"/>
  <c r="M39" i="11"/>
  <c r="L39" i="11"/>
  <c r="K39" i="11"/>
  <c r="J39" i="11"/>
  <c r="I39" i="11"/>
  <c r="W37" i="11"/>
  <c r="V37" i="11"/>
  <c r="U37" i="11"/>
  <c r="T37" i="11"/>
  <c r="S37" i="11"/>
  <c r="R37" i="11"/>
  <c r="Q37" i="11"/>
  <c r="P37" i="11"/>
  <c r="O37" i="11"/>
  <c r="N37" i="11"/>
  <c r="M37" i="11"/>
  <c r="L37" i="11"/>
  <c r="K37" i="11"/>
  <c r="J37" i="11"/>
  <c r="I37" i="11"/>
  <c r="W35" i="11"/>
  <c r="V35" i="11"/>
  <c r="U35" i="11"/>
  <c r="T35" i="11"/>
  <c r="S35" i="11"/>
  <c r="R35" i="11"/>
  <c r="Q35" i="11"/>
  <c r="P35" i="11"/>
  <c r="O35" i="11"/>
  <c r="N35" i="11"/>
  <c r="M35" i="11"/>
  <c r="L35" i="11"/>
  <c r="K35" i="11"/>
  <c r="J35" i="11"/>
  <c r="I35" i="11"/>
  <c r="W33" i="11"/>
  <c r="V33" i="11"/>
  <c r="U33" i="11"/>
  <c r="T33" i="11"/>
  <c r="S33" i="11"/>
  <c r="R33" i="11"/>
  <c r="Q33" i="11"/>
  <c r="P33" i="11"/>
  <c r="O33" i="11"/>
  <c r="N33" i="11"/>
  <c r="M33" i="11"/>
  <c r="L33" i="11"/>
  <c r="K33" i="11"/>
  <c r="J33" i="11"/>
  <c r="I33" i="11"/>
  <c r="W31" i="11"/>
  <c r="V31" i="11"/>
  <c r="U31" i="11"/>
  <c r="T31" i="11"/>
  <c r="S31" i="11"/>
  <c r="R31" i="11"/>
  <c r="Q31" i="11"/>
  <c r="P31" i="11"/>
  <c r="O31" i="11"/>
  <c r="N31" i="11"/>
  <c r="M31" i="11"/>
  <c r="L31" i="11"/>
  <c r="K31" i="11"/>
  <c r="J31" i="11"/>
  <c r="I31" i="11"/>
  <c r="W15" i="11"/>
  <c r="V15" i="11"/>
  <c r="U15" i="11"/>
  <c r="T15" i="11"/>
  <c r="S15" i="11"/>
  <c r="R15" i="11"/>
  <c r="Q15" i="11"/>
  <c r="P15" i="11"/>
  <c r="O15" i="11"/>
  <c r="N15" i="11"/>
  <c r="M15" i="11"/>
  <c r="L15" i="11"/>
  <c r="K15" i="11"/>
  <c r="J15" i="11"/>
  <c r="I15" i="11"/>
  <c r="W9" i="11"/>
  <c r="V9" i="11"/>
  <c r="U9" i="11"/>
  <c r="T9" i="11"/>
  <c r="S9" i="11"/>
  <c r="R9" i="11"/>
  <c r="Q9" i="11"/>
  <c r="P9" i="11"/>
  <c r="O9" i="11"/>
  <c r="N9" i="11"/>
  <c r="M9" i="11"/>
  <c r="L9" i="11"/>
  <c r="K9" i="11"/>
  <c r="J9" i="11"/>
  <c r="I9" i="11"/>
  <c r="W22" i="11"/>
  <c r="V22" i="11"/>
  <c r="U22" i="11"/>
  <c r="T22" i="11"/>
  <c r="S22" i="11"/>
  <c r="R22" i="11"/>
  <c r="Q22" i="11"/>
  <c r="P22" i="11"/>
  <c r="O22" i="11"/>
  <c r="N22" i="11"/>
  <c r="M22" i="11"/>
  <c r="L22" i="11"/>
  <c r="K22" i="11"/>
  <c r="J22" i="11"/>
  <c r="I22" i="11"/>
  <c r="W17" i="11"/>
  <c r="V17" i="11"/>
  <c r="U17" i="11"/>
  <c r="T17" i="11"/>
  <c r="S17" i="11"/>
  <c r="R17" i="11"/>
  <c r="Q17" i="11"/>
  <c r="P17" i="11"/>
  <c r="O17" i="11"/>
  <c r="N17" i="11"/>
  <c r="M17" i="11"/>
  <c r="L17" i="11"/>
  <c r="K17" i="11"/>
  <c r="J17" i="11"/>
  <c r="I17" i="11"/>
  <c r="W13" i="11"/>
  <c r="V13" i="11"/>
  <c r="U13" i="11"/>
  <c r="T13" i="11"/>
  <c r="S13" i="11"/>
  <c r="R13" i="11"/>
  <c r="Q13" i="11"/>
  <c r="P13" i="11"/>
  <c r="O13" i="11"/>
  <c r="N13" i="11"/>
  <c r="M13" i="11"/>
  <c r="L13" i="11"/>
  <c r="K13" i="11"/>
  <c r="J13" i="11"/>
  <c r="I13" i="11"/>
  <c r="W20" i="11"/>
  <c r="V20" i="11"/>
  <c r="U20" i="11"/>
  <c r="T20" i="11"/>
  <c r="S20" i="11"/>
  <c r="R20" i="11"/>
  <c r="Q20" i="11"/>
  <c r="P20" i="11"/>
  <c r="O20" i="11"/>
  <c r="N20" i="11"/>
  <c r="M20" i="11"/>
  <c r="L20" i="11"/>
  <c r="K20" i="11"/>
  <c r="J20" i="11"/>
  <c r="I20" i="11"/>
  <c r="W19" i="11"/>
  <c r="V19" i="11"/>
  <c r="U19" i="11"/>
  <c r="T19" i="11"/>
  <c r="S19" i="11"/>
  <c r="R19" i="11"/>
  <c r="Q19" i="11"/>
  <c r="P19" i="11"/>
  <c r="O19" i="11"/>
  <c r="N19" i="11"/>
  <c r="M19" i="11"/>
  <c r="L19" i="11"/>
  <c r="K19" i="11"/>
  <c r="J19" i="11"/>
  <c r="I19" i="11"/>
  <c r="W18" i="11"/>
  <c r="V18" i="11"/>
  <c r="U18" i="11"/>
  <c r="T18" i="11"/>
  <c r="S18" i="11"/>
  <c r="R18" i="11"/>
  <c r="Q18" i="11"/>
  <c r="P18" i="11"/>
  <c r="O18" i="11"/>
  <c r="N18" i="11"/>
  <c r="M18" i="11"/>
  <c r="L18" i="11"/>
  <c r="K18" i="11"/>
  <c r="J18" i="11"/>
  <c r="I18" i="11"/>
  <c r="W14" i="11"/>
  <c r="V14" i="11"/>
  <c r="U14" i="11"/>
  <c r="T14" i="11"/>
  <c r="S14" i="11"/>
  <c r="R14" i="11"/>
  <c r="Q14" i="11"/>
  <c r="P14" i="11"/>
  <c r="O14" i="11"/>
  <c r="N14" i="11"/>
  <c r="M14" i="11"/>
  <c r="L14" i="11"/>
  <c r="K14" i="11"/>
  <c r="J14" i="11"/>
  <c r="I14" i="11"/>
  <c r="W10" i="11"/>
  <c r="V10" i="11"/>
  <c r="U10" i="11"/>
  <c r="T10" i="11"/>
  <c r="S10" i="11"/>
  <c r="R10" i="11"/>
  <c r="Q10" i="11"/>
  <c r="P10" i="11"/>
  <c r="O10" i="11"/>
  <c r="N10" i="11"/>
  <c r="M10" i="11"/>
  <c r="L10" i="11"/>
  <c r="K10" i="11"/>
  <c r="J10" i="11"/>
  <c r="I10" i="11"/>
  <c r="F29" i="11"/>
  <c r="F28" i="11"/>
  <c r="F27" i="11"/>
  <c r="F26" i="11"/>
  <c r="F15" i="11"/>
  <c r="F9" i="11"/>
  <c r="F22" i="11"/>
  <c r="F20" i="11"/>
  <c r="F10" i="11"/>
  <c r="F17" i="11"/>
  <c r="F13" i="11"/>
  <c r="F39" i="11"/>
  <c r="F37" i="11"/>
  <c r="F14" i="11"/>
  <c r="F19" i="11"/>
  <c r="F18" i="11"/>
  <c r="F35" i="11"/>
  <c r="F33" i="11"/>
  <c r="F31" i="11"/>
  <c r="G29" i="11" l="1"/>
  <c r="G28" i="11"/>
  <c r="G27" i="11"/>
  <c r="G26" i="11"/>
  <c r="G39" i="11"/>
  <c r="G37" i="11"/>
  <c r="G35" i="11"/>
  <c r="G33" i="11"/>
  <c r="G31" i="11"/>
  <c r="G15" i="11"/>
  <c r="G9" i="11"/>
  <c r="G22" i="11"/>
  <c r="G17" i="11"/>
  <c r="G13" i="11"/>
  <c r="G20" i="11"/>
  <c r="G19" i="11"/>
  <c r="G18" i="11"/>
  <c r="G14" i="11"/>
  <c r="G10" i="11"/>
  <c r="H29" i="11"/>
  <c r="H28" i="11"/>
  <c r="H27" i="11"/>
  <c r="H26" i="11"/>
  <c r="H9" i="11"/>
  <c r="H22" i="11"/>
  <c r="H17" i="11"/>
  <c r="H13" i="11"/>
  <c r="H39" i="11"/>
  <c r="H10" i="11"/>
  <c r="H15" i="11"/>
  <c r="H37" i="11"/>
  <c r="H18" i="11"/>
  <c r="H35" i="11"/>
  <c r="H20" i="11"/>
  <c r="H33" i="11"/>
  <c r="H19" i="11"/>
  <c r="H31" i="11"/>
  <c r="H14" i="11"/>
  <c r="W24" i="11" l="1"/>
  <c r="V24" i="11"/>
  <c r="U24" i="11"/>
  <c r="T24" i="11"/>
  <c r="R24" i="11"/>
  <c r="Q24" i="11"/>
  <c r="P24" i="11"/>
  <c r="O24" i="11"/>
  <c r="M24" i="11"/>
  <c r="L24" i="11"/>
  <c r="K24" i="11"/>
  <c r="J24" i="11"/>
  <c r="I24" i="11"/>
  <c r="W23" i="11"/>
  <c r="V23" i="11"/>
  <c r="U23" i="11"/>
  <c r="T23" i="11"/>
  <c r="R23" i="11"/>
  <c r="Q23" i="11"/>
  <c r="P23" i="11"/>
  <c r="O23" i="11"/>
  <c r="M23" i="11"/>
  <c r="L23" i="11"/>
  <c r="K23" i="11"/>
  <c r="J23" i="11"/>
  <c r="I23" i="11"/>
  <c r="D34" i="3"/>
  <c r="D33" i="3"/>
  <c r="D32" i="3"/>
  <c r="D31" i="3"/>
  <c r="D30" i="3"/>
  <c r="D29" i="3"/>
  <c r="D28" i="3"/>
  <c r="D27" i="3"/>
  <c r="D26" i="3"/>
  <c r="D25" i="3"/>
  <c r="D24" i="3"/>
  <c r="D23" i="3"/>
  <c r="D22" i="3"/>
  <c r="D21" i="3"/>
  <c r="D20" i="3"/>
  <c r="D19" i="3"/>
  <c r="D18" i="3"/>
  <c r="D17" i="3"/>
  <c r="D16" i="3"/>
  <c r="D15" i="3"/>
  <c r="D14" i="3"/>
  <c r="D13" i="3"/>
  <c r="D12" i="3"/>
  <c r="D11" i="3"/>
  <c r="D10" i="3"/>
  <c r="D9" i="3"/>
  <c r="D8" i="3"/>
  <c r="D7" i="3"/>
  <c r="D6" i="3"/>
  <c r="D5" i="3"/>
  <c r="D4" i="3"/>
  <c r="W27" i="3"/>
  <c r="W71" i="3"/>
  <c r="W107" i="3"/>
  <c r="W105" i="3"/>
  <c r="W5" i="3"/>
  <c r="W6" i="3"/>
  <c r="W7" i="3"/>
  <c r="W8" i="3"/>
  <c r="W9" i="3"/>
  <c r="W10" i="3"/>
  <c r="W11" i="3"/>
  <c r="W12" i="3"/>
  <c r="W13" i="3"/>
  <c r="W14" i="3"/>
  <c r="W15" i="3"/>
  <c r="W16" i="3"/>
  <c r="W17" i="3"/>
  <c r="W18" i="3"/>
  <c r="W19" i="3"/>
  <c r="W20" i="3"/>
  <c r="W21" i="3"/>
  <c r="W22" i="3"/>
  <c r="W23" i="3"/>
  <c r="W24" i="3"/>
  <c r="W25" i="3"/>
  <c r="W26"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2" i="3"/>
  <c r="W73" i="3"/>
  <c r="W74" i="3"/>
  <c r="W75" i="3"/>
  <c r="W76" i="3"/>
  <c r="W77" i="3"/>
  <c r="W78" i="3"/>
  <c r="W79" i="3"/>
  <c r="W80" i="3"/>
  <c r="W81" i="3"/>
  <c r="W82" i="3"/>
  <c r="W83" i="3"/>
  <c r="W84" i="3"/>
  <c r="W85" i="3"/>
  <c r="W87" i="3"/>
  <c r="W88" i="3"/>
  <c r="W89" i="3"/>
  <c r="W90" i="3"/>
  <c r="W91" i="3"/>
  <c r="W92" i="3"/>
  <c r="W93" i="3"/>
  <c r="W94" i="3"/>
  <c r="W95" i="3"/>
  <c r="W96" i="3"/>
  <c r="W97" i="3"/>
  <c r="W98" i="3"/>
  <c r="W99" i="3"/>
  <c r="W100" i="3"/>
  <c r="W101" i="3"/>
  <c r="W102" i="3"/>
  <c r="W103" i="3"/>
  <c r="W104" i="3"/>
  <c r="W106" i="3"/>
  <c r="W108" i="3"/>
  <c r="W109" i="3"/>
  <c r="W110" i="3"/>
  <c r="W111" i="3"/>
  <c r="W112" i="3"/>
  <c r="W113" i="3"/>
  <c r="W114" i="3"/>
  <c r="W4" i="3"/>
  <c r="AA90" i="3"/>
  <c r="L5" i="3"/>
  <c r="L6" i="3" s="1"/>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4" i="3"/>
  <c r="S24" i="11" l="1"/>
  <c r="S23" i="11"/>
  <c r="N24" i="11"/>
  <c r="L7" i="3"/>
  <c r="N23" i="11"/>
  <c r="L8" i="3"/>
  <c r="Y48" i="3"/>
  <c r="Y9" i="3"/>
  <c r="Y19" i="3"/>
  <c r="Y108" i="3"/>
  <c r="Y22" i="3"/>
  <c r="Y72" i="3"/>
  <c r="Y33" i="3"/>
  <c r="Y75" i="3"/>
  <c r="Y10" i="3"/>
  <c r="Y14" i="3"/>
  <c r="Y83" i="3"/>
  <c r="Y55" i="3"/>
  <c r="Y85" i="3"/>
  <c r="Y112" i="3"/>
  <c r="Y47" i="3"/>
  <c r="Y35" i="3"/>
  <c r="Y57" i="3"/>
  <c r="Y27" i="3"/>
  <c r="Y51" i="3"/>
  <c r="Y80" i="3"/>
  <c r="Y23" i="3"/>
  <c r="Y24" i="3"/>
  <c r="Y56" i="3"/>
  <c r="Y45" i="3"/>
  <c r="Y20" i="3"/>
  <c r="Y89" i="3"/>
  <c r="Y58" i="3"/>
  <c r="Y54" i="3"/>
  <c r="Y91" i="3"/>
  <c r="Y111" i="3"/>
  <c r="Y13" i="3"/>
  <c r="Y110" i="3"/>
  <c r="Y106" i="3"/>
  <c r="Y105" i="3"/>
  <c r="Y66" i="3"/>
  <c r="Y76" i="3"/>
  <c r="Y11" i="3"/>
  <c r="Y101" i="3"/>
  <c r="Y29" i="3"/>
  <c r="Y97" i="3"/>
  <c r="Y60" i="3"/>
  <c r="Y53" i="3"/>
  <c r="Y40" i="3"/>
  <c r="Y77" i="3"/>
  <c r="Y102" i="3"/>
  <c r="Y36" i="3"/>
  <c r="Y38" i="3"/>
  <c r="Y95" i="3"/>
  <c r="Y6" i="3"/>
  <c r="Y64" i="3"/>
  <c r="Y99" i="3"/>
  <c r="Y100" i="3"/>
  <c r="Y52" i="3"/>
  <c r="Y67" i="3"/>
  <c r="Y12" i="3"/>
  <c r="Y7" i="3"/>
  <c r="Y109" i="3"/>
  <c r="Y74" i="3"/>
  <c r="Y62" i="3"/>
  <c r="Y84" i="3"/>
  <c r="Y25" i="3"/>
  <c r="Y90" i="3"/>
  <c r="Y73" i="3"/>
  <c r="Y81" i="3"/>
  <c r="Y50" i="3"/>
  <c r="Y93" i="3"/>
  <c r="Y32" i="3"/>
  <c r="Y15" i="3"/>
  <c r="Y16" i="3"/>
  <c r="Y107" i="3"/>
  <c r="Y104" i="3"/>
  <c r="Y26" i="3"/>
  <c r="Y39" i="3"/>
  <c r="Y69" i="3"/>
  <c r="Y70" i="3"/>
  <c r="Y94" i="3"/>
  <c r="Y18" i="3"/>
  <c r="Y61" i="3"/>
  <c r="Y8" i="3"/>
  <c r="Y92" i="3"/>
  <c r="Y21" i="3"/>
  <c r="Y88" i="3"/>
  <c r="Y34" i="3"/>
  <c r="Y71" i="3"/>
  <c r="Y87" i="3"/>
  <c r="Y65" i="3"/>
  <c r="Y79" i="3"/>
  <c r="Y46" i="3"/>
  <c r="Y17" i="3"/>
  <c r="Y68" i="3"/>
  <c r="Y28" i="3"/>
  <c r="Y42" i="3"/>
  <c r="Y43" i="3"/>
  <c r="Y98" i="3"/>
  <c r="Y63" i="3"/>
  <c r="Y37" i="3"/>
  <c r="Y44" i="3"/>
  <c r="Y59" i="3"/>
  <c r="Y96" i="3"/>
  <c r="Y49" i="3"/>
  <c r="Y4" i="3"/>
  <c r="Y103" i="3"/>
  <c r="Y82" i="3"/>
  <c r="Y86" i="3"/>
  <c r="Y78" i="3"/>
  <c r="Y31" i="3"/>
  <c r="Y5" i="3"/>
  <c r="Y41" i="3"/>
  <c r="Y30" i="3"/>
  <c r="F23" i="11"/>
  <c r="F24" i="11"/>
  <c r="G24" i="11" l="1"/>
  <c r="G23" i="11"/>
  <c r="H23" i="11"/>
  <c r="H24" i="11"/>
</calcChain>
</file>

<file path=xl/sharedStrings.xml><?xml version="1.0" encoding="utf-8"?>
<sst xmlns="http://schemas.openxmlformats.org/spreadsheetml/2006/main" count="1011" uniqueCount="404">
  <si>
    <t>Azure Resource Naming Calculator</t>
  </si>
  <si>
    <t>The Azure Resource Naming Calculator is a a macro-enabled Excel spreadsheet that allows you to create formatting expressions to test your naming convention against resource name lengths and formatting requirements.</t>
  </si>
  <si>
    <t>Getting Started</t>
  </si>
  <si>
    <t>To get started, open the "Resource Names" tab and begin by populating the Organization Name, Project/Product Name and Name Format columns. While the first two are obvious, the Name Format is the key value of the sheet. This is what allows names to be computed based on the various components of the resource information.
To create an expression, simply enter any text along with the replacement tokens in the format of {token} within the expression. Valid tokens include:</t>
  </si>
  <si>
    <t>productName - The name of the product or project, sourced from Resource Names!B2</t>
  </si>
  <si>
    <t>component - The name of the component, sourced from the "component" column</t>
  </si>
  <si>
    <t>organizationName - The name of the organization, sourced from Resource Names!B1</t>
  </si>
  <si>
    <t>environmentName - The full name of the environment - resolved to LookupLists!I4 and down based on the value in the Environment column.</t>
  </si>
  <si>
    <t>environmentShortCode - The short code of the environment - resolved to LookupLists!J4 and down based on the value in the Environment column.</t>
  </si>
  <si>
    <t>environmentLongCode - The long code of the environment - resolved to LookupLists!K4 and down based on the value in the Environment column.</t>
  </si>
  <si>
    <t>environmentId - The id of the environment - resolved to LookupLists!L4 and down based on the value in the Environment column.</t>
  </si>
  <si>
    <t>regionName - The full name of the region - resolved to LookupLists!A4 and down based on the value in the Azure Region column.</t>
  </si>
  <si>
    <t>regionGeo- The geo name of the region - resolved to LookupLists!B4 and down based on the value in the Azure Region column.</t>
  </si>
  <si>
    <t>regionDatacenter- The data center of the region - resolved to LookupLists!C4 and down based on the value in the Azure Region column.</t>
  </si>
  <si>
    <t>regionShortCode- The short code of the region - resolved to LookupLists!D4 and down based on the value in the Azure Region column.</t>
  </si>
  <si>
    <t>regionId- The encoded region ID - resolved to LookupLists!G4 and down based on the value in the Azure Region column.</t>
  </si>
  <si>
    <t>resourceTypeName - The full resource type name - resolved to LookupLists!N4 and down based on the value in the Azure Service column.</t>
  </si>
  <si>
    <t>resourceTypeShortCode - The resource type short code - resolved to LookupLists!O4 and down based on the value in the Azure Service column.</t>
  </si>
  <si>
    <t>resourceTypeLongCode - The resource type long code - resolved to LookupLists!P4 and down based on the value in the Azure Service column.</t>
  </si>
  <si>
    <t>resourceTypeId - The resource type id - resolved to LookupLists!R4 and down based on the value in the Azure Service column.</t>
  </si>
  <si>
    <t>For example, {component}-{environmentShortCode} for a component named "mysvc" and in the Production environment would yield: mysvc-p when the name is computed.
After populating the first three values, proceed to enter resources in the grid. As you enter items, the "Remaining Characters" and "Meets Name Format" columns will be updated based on the requirements for the resource type.</t>
  </si>
  <si>
    <t>Modifying Lookup Lists (i.e. I Didn't Add Everything!)</t>
  </si>
  <si>
    <t>The lists on the LookupLists tab are dynamic and will run through row 1000 in each of their respective columns. The general presumption is that if we're dealing with 1,000 item long lists, we have a bigger problem so that seemed a pretty reasonable stopping point.
In particular, you'll probably want to modify the Environments and Top Level Resource Types. In the case of the former, it's likely because yours don't match mine - simple enough. In the case of the latter, it's because this isn't an exhaustive list, lengths change, patterns change and there's certainly a possibility of patterns being entered incorrectly.
That said, to add a new "record" for each list, simply start adding rows below. The validation lists in the Resource Names column will pick it up. Also, the VLOOOKUPs that are used go down to row 1000 in each area so everything should be covered. The biggest challenge is creating the Validation Expression for the various resource types. These are simply regular expressions which you can test at:</t>
  </si>
  <si>
    <t>https://regex101.com/</t>
  </si>
  <si>
    <t>Azure Resource Name Calculator</t>
  </si>
  <si>
    <t>Organization Name</t>
  </si>
  <si>
    <t>Project / Product Name</t>
  </si>
  <si>
    <t>luis</t>
  </si>
  <si>
    <t>Name Format</t>
  </si>
  <si>
    <t>Casing</t>
  </si>
  <si>
    <t>Standard</t>
  </si>
  <si>
    <t>DEBUG</t>
  </si>
  <si>
    <t>Environment</t>
  </si>
  <si>
    <t>Component</t>
  </si>
  <si>
    <t>Azure Region</t>
  </si>
  <si>
    <t>Azure Service</t>
  </si>
  <si>
    <t>Computed Name</t>
  </si>
  <si>
    <t>Remaining Chars</t>
  </si>
  <si>
    <t>Meets Name Format</t>
  </si>
  <si>
    <t>Environment Name</t>
  </si>
  <si>
    <t>Environment Short Code</t>
  </si>
  <si>
    <t>Environment Long Code</t>
  </si>
  <si>
    <t>Environment ID</t>
  </si>
  <si>
    <t>Region Name</t>
  </si>
  <si>
    <t>Region Short Code</t>
  </si>
  <si>
    <t>Region Geo</t>
  </si>
  <si>
    <t>Region Datacenter</t>
  </si>
  <si>
    <t>Region Geo ID</t>
  </si>
  <si>
    <t>Region Datacenter ID</t>
  </si>
  <si>
    <t>Region Encoded ID</t>
  </si>
  <si>
    <t>Azure Service Name</t>
  </si>
  <si>
    <t>Azure Service Short Code</t>
  </si>
  <si>
    <t>Azure Service Long Code</t>
  </si>
  <si>
    <t>Azure Service ID</t>
  </si>
  <si>
    <t>Override Name Format</t>
  </si>
  <si>
    <t>Development</t>
  </si>
  <si>
    <t>UK South</t>
  </si>
  <si>
    <t>Resource Group</t>
  </si>
  <si>
    <t>App Service plan</t>
  </si>
  <si>
    <t>Web app</t>
  </si>
  <si>
    <t>Api App</t>
  </si>
  <si>
    <t>Azure SQL database</t>
  </si>
  <si>
    <t>Function app</t>
  </si>
  <si>
    <t>Storage account</t>
  </si>
  <si>
    <t>Key vault</t>
  </si>
  <si>
    <t>Application Insights</t>
  </si>
  <si>
    <t>Azure SQL Database server</t>
  </si>
  <si>
    <t>UK West</t>
  </si>
  <si>
    <t>Test</t>
  </si>
  <si>
    <t>Production</t>
  </si>
  <si>
    <t>Identifier</t>
  </si>
  <si>
    <t>01</t>
  </si>
  <si>
    <t>Azure Data Factory</t>
  </si>
  <si>
    <t>QA</t>
  </si>
  <si>
    <t>Azure Synapse Analytics</t>
  </si>
  <si>
    <t>Azure Databricks workspace</t>
  </si>
  <si>
    <t>Service Bus</t>
  </si>
  <si>
    <t>Private endpoint</t>
  </si>
  <si>
    <t>Azure Regions</t>
  </si>
  <si>
    <t>Environments</t>
  </si>
  <si>
    <t>Top Level Resource Types</t>
  </si>
  <si>
    <t>Guidelines</t>
  </si>
  <si>
    <t>Each datacenter within a region should be incremented by either 4 or 8 based on the major territory (e.g. east, west, etc.) within the region. Subterritories, such as North Central, should increment by one from the territory.</t>
  </si>
  <si>
    <t>For TESTING</t>
  </si>
  <si>
    <t>Geo Short Code</t>
  </si>
  <si>
    <t>Datacenter Short Code</t>
  </si>
  <si>
    <t>Short Code</t>
  </si>
  <si>
    <t>Geo ID</t>
  </si>
  <si>
    <t>Datacenter ID</t>
  </si>
  <si>
    <t>Encoding</t>
  </si>
  <si>
    <t>Long Code</t>
  </si>
  <si>
    <t>ID</t>
  </si>
  <si>
    <t>Resource Type</t>
  </si>
  <si>
    <t>Scope</t>
  </si>
  <si>
    <t>Character min</t>
  </si>
  <si>
    <t>Character Limit</t>
  </si>
  <si>
    <t>special chars</t>
  </si>
  <si>
    <t>Validation Expression</t>
  </si>
  <si>
    <t>East US</t>
  </si>
  <si>
    <t>us</t>
  </si>
  <si>
    <t>e</t>
  </si>
  <si>
    <t>d</t>
  </si>
  <si>
    <t>dev</t>
  </si>
  <si>
    <t>AKS cluster</t>
  </si>
  <si>
    <t>aks</t>
  </si>
  <si>
    <t>Insensitive</t>
  </si>
  <si>
    <t>_-</t>
  </si>
  <si>
    <t>aBc.1</t>
  </si>
  <si>
    <t>East US 2</t>
  </si>
  <si>
    <t>e2</t>
  </si>
  <si>
    <t>q</t>
  </si>
  <si>
    <t>qa</t>
  </si>
  <si>
    <t>api</t>
  </si>
  <si>
    <t>apiapp</t>
  </si>
  <si>
    <t>Global</t>
  </si>
  <si>
    <t>Central US</t>
  </si>
  <si>
    <t>c</t>
  </si>
  <si>
    <t>t</t>
  </si>
  <si>
    <t>tst</t>
  </si>
  <si>
    <t>API management service instance</t>
  </si>
  <si>
    <t>apim</t>
  </si>
  <si>
    <t>-</t>
  </si>
  <si>
    <t>North Central US</t>
  </si>
  <si>
    <t>cn</t>
  </si>
  <si>
    <t>Pre-Prod</t>
  </si>
  <si>
    <t>s</t>
  </si>
  <si>
    <t>pre</t>
  </si>
  <si>
    <t>App Configuration store</t>
  </si>
  <si>
    <t>appcs</t>
  </si>
  <si>
    <t>West Central US</t>
  </si>
  <si>
    <t>cw</t>
  </si>
  <si>
    <t>p</t>
  </si>
  <si>
    <t>prd</t>
  </si>
  <si>
    <t>App Service</t>
  </si>
  <si>
    <t>svc</t>
  </si>
  <si>
    <t>appsvc</t>
  </si>
  <si>
    <t>West US</t>
  </si>
  <si>
    <t>w</t>
  </si>
  <si>
    <t>App Service environment</t>
  </si>
  <si>
    <t>ase</t>
  </si>
  <si>
    <t>West US 2</t>
  </si>
  <si>
    <t>w2</t>
  </si>
  <si>
    <t>plan</t>
  </si>
  <si>
    <t>Canada East</t>
  </si>
  <si>
    <t>ca</t>
  </si>
  <si>
    <t>Application gateway</t>
  </si>
  <si>
    <t>agw</t>
  </si>
  <si>
    <t>x</t>
  </si>
  <si>
    <t>_\.-</t>
  </si>
  <si>
    <t>Canada Central</t>
  </si>
  <si>
    <t>appi</t>
  </si>
  <si>
    <t>Brazil South</t>
  </si>
  <si>
    <t>br</t>
  </si>
  <si>
    <t>Application security group (ASG)</t>
  </si>
  <si>
    <t>asg</t>
  </si>
  <si>
    <t>North Europe</t>
  </si>
  <si>
    <t>eu</t>
  </si>
  <si>
    <t>n</t>
  </si>
  <si>
    <t>Automation account</t>
  </si>
  <si>
    <t>aa</t>
  </si>
  <si>
    <t>West Europe</t>
  </si>
  <si>
    <t>Availability set</t>
  </si>
  <si>
    <t>avail</t>
  </si>
  <si>
    <t>Germany Central</t>
  </si>
  <si>
    <t>de</t>
  </si>
  <si>
    <t>Azure Analysis Services server</t>
  </si>
  <si>
    <t>as</t>
  </si>
  <si>
    <t>Germany Northeast</t>
  </si>
  <si>
    <t>ne</t>
  </si>
  <si>
    <t>Azure Arc enabled Kubernetes cluster</t>
  </si>
  <si>
    <t>arck</t>
  </si>
  <si>
    <t>uk</t>
  </si>
  <si>
    <t>Azure Arc enabled server</t>
  </si>
  <si>
    <t>arcs</t>
  </si>
  <si>
    <t>Azure Cache for Redis instance</t>
  </si>
  <si>
    <t>redis</t>
  </si>
  <si>
    <t>France Central</t>
  </si>
  <si>
    <t>fr</t>
  </si>
  <si>
    <t>Azure Cognitive Search</t>
  </si>
  <si>
    <t>srch</t>
  </si>
  <si>
    <t>France South</t>
  </si>
  <si>
    <t>Azure Cognitive Services</t>
  </si>
  <si>
    <t>cog</t>
  </si>
  <si>
    <t>Southeast Asia</t>
  </si>
  <si>
    <t>se</t>
  </si>
  <si>
    <t>Azure Container Registry</t>
  </si>
  <si>
    <t>acr</t>
  </si>
  <si>
    <t>East Asia</t>
  </si>
  <si>
    <t>Azure Cosmos DB database</t>
  </si>
  <si>
    <t>cosmos</t>
  </si>
  <si>
    <t>Lower Case</t>
  </si>
  <si>
    <t>abc-123</t>
  </si>
  <si>
    <t>Australia East</t>
  </si>
  <si>
    <t>au</t>
  </si>
  <si>
    <t>Azure Data Explorer cluster</t>
  </si>
  <si>
    <t>dec</t>
  </si>
  <si>
    <t>Australia Southeast</t>
  </si>
  <si>
    <t>adf</t>
  </si>
  <si>
    <t>China East</t>
  </si>
  <si>
    <t>dbw</t>
  </si>
  <si>
    <t>China North</t>
  </si>
  <si>
    <t>Azure Firewalls</t>
  </si>
  <si>
    <t>afw</t>
  </si>
  <si>
    <t>Central India</t>
  </si>
  <si>
    <t>in</t>
  </si>
  <si>
    <t>Azure Machine Learning workspace</t>
  </si>
  <si>
    <t>mlw</t>
  </si>
  <si>
    <t>West India</t>
  </si>
  <si>
    <t>Azure Migrate project</t>
  </si>
  <si>
    <t>migr</t>
  </si>
  <si>
    <t>South India</t>
  </si>
  <si>
    <t>Azure Monitor action group</t>
  </si>
  <si>
    <t>ag</t>
  </si>
  <si>
    <t>Japan East</t>
  </si>
  <si>
    <t>jp</t>
  </si>
  <si>
    <t>Azure Purview instance</t>
  </si>
  <si>
    <t>pview</t>
  </si>
  <si>
    <t>Japan West</t>
  </si>
  <si>
    <t>Azure Search</t>
  </si>
  <si>
    <t>search</t>
  </si>
  <si>
    <t>Korea Central</t>
  </si>
  <si>
    <t>kr</t>
  </si>
  <si>
    <t>Azure SQL Data Warehouse</t>
  </si>
  <si>
    <t>sqldw</t>
  </si>
  <si>
    <t>Korea South</t>
  </si>
  <si>
    <t>sqldb</t>
  </si>
  <si>
    <t>sql</t>
  </si>
  <si>
    <t>Azure Static Web Apps</t>
  </si>
  <si>
    <t>stap</t>
  </si>
  <si>
    <t>Azure StorSimple</t>
  </si>
  <si>
    <t>ssimp</t>
  </si>
  <si>
    <t>Azure Stream Analytics</t>
  </si>
  <si>
    <t>asa</t>
  </si>
  <si>
    <t>syn</t>
  </si>
  <si>
    <t>Blueprint</t>
  </si>
  <si>
    <t>bp</t>
  </si>
  <si>
    <t>Blueprint assignment</t>
  </si>
  <si>
    <t>bpa</t>
  </si>
  <si>
    <t>CDN endpoint</t>
  </si>
  <si>
    <t>cdne</t>
  </si>
  <si>
    <t>CDN profile</t>
  </si>
  <si>
    <t>cdnp</t>
  </si>
  <si>
    <t>Cloud service</t>
  </si>
  <si>
    <t>cld</t>
  </si>
  <si>
    <t>Container instance</t>
  </si>
  <si>
    <t>ci</t>
  </si>
  <si>
    <t>Container registry</t>
  </si>
  <si>
    <t>cr</t>
  </si>
  <si>
    <t>Data Lake Analytics account</t>
  </si>
  <si>
    <t>dla</t>
  </si>
  <si>
    <t>Data Lake Store account</t>
  </si>
  <si>
    <t>dls</t>
  </si>
  <si>
    <t>Database Migration Service instance</t>
  </si>
  <si>
    <t>dms</t>
  </si>
  <si>
    <t>Event Grid domain</t>
  </si>
  <si>
    <t>evgd</t>
  </si>
  <si>
    <t>Event Grid topic</t>
  </si>
  <si>
    <t>evgt</t>
  </si>
  <si>
    <t>Event hub</t>
  </si>
  <si>
    <t>evh</t>
  </si>
  <si>
    <t>Event Hubs namespace</t>
  </si>
  <si>
    <t>evhns</t>
  </si>
  <si>
    <t>ExpressRoute circuit</t>
  </si>
  <si>
    <t>erc</t>
  </si>
  <si>
    <t>Front door</t>
  </si>
  <si>
    <t>fd</t>
  </si>
  <si>
    <t>func</t>
  </si>
  <si>
    <t>HDInsight - Hadoop cluster</t>
  </si>
  <si>
    <t>hadoop</t>
  </si>
  <si>
    <t>HDInsight - HBase cluster</t>
  </si>
  <si>
    <t>hbase</t>
  </si>
  <si>
    <t>HDInsight - Kafka cluster</t>
  </si>
  <si>
    <t>kafka</t>
  </si>
  <si>
    <t>HDInsight - ML Services cluster</t>
  </si>
  <si>
    <t>mls</t>
  </si>
  <si>
    <t>HDInsight - Spark cluster</t>
  </si>
  <si>
    <t>spark</t>
  </si>
  <si>
    <t>HDInsight - Storm cluster</t>
  </si>
  <si>
    <t>storm</t>
  </si>
  <si>
    <t>Integration account</t>
  </si>
  <si>
    <t>ia</t>
  </si>
  <si>
    <t>IoT hub</t>
  </si>
  <si>
    <t>iot</t>
  </si>
  <si>
    <t>kv</t>
  </si>
  <si>
    <t>Lenguage Understanding</t>
  </si>
  <si>
    <t>Load balancer (external)</t>
  </si>
  <si>
    <t>lbe</t>
  </si>
  <si>
    <t>Load balancer (internal)</t>
  </si>
  <si>
    <t>lbi</t>
  </si>
  <si>
    <t>Local network gateway</t>
  </si>
  <si>
    <t>lgw</t>
  </si>
  <si>
    <t>Log Analytics workspace</t>
  </si>
  <si>
    <t>log</t>
  </si>
  <si>
    <t>abc-(12_3)</t>
  </si>
  <si>
    <t>Logic apps</t>
  </si>
  <si>
    <t>logic</t>
  </si>
  <si>
    <t>-_\.\(\)</t>
  </si>
  <si>
    <t>Managed disk (data)</t>
  </si>
  <si>
    <t>disk</t>
  </si>
  <si>
    <t>Managed disk (OS)</t>
  </si>
  <si>
    <t>osdisk</t>
  </si>
  <si>
    <t>Managed Identity</t>
  </si>
  <si>
    <t>id</t>
  </si>
  <si>
    <t>Management group</t>
  </si>
  <si>
    <t>mg</t>
  </si>
  <si>
    <t>MySQL database</t>
  </si>
  <si>
    <t>mysql</t>
  </si>
  <si>
    <t>Network interface (NIC)</t>
  </si>
  <si>
    <t>nic</t>
  </si>
  <si>
    <t>Network security group (NSG)</t>
  </si>
  <si>
    <t>nsg</t>
  </si>
  <si>
    <t>Network Security Group Rule</t>
  </si>
  <si>
    <t>netsecgrprule</t>
  </si>
  <si>
    <t>Notification Hubs</t>
  </si>
  <si>
    <t>ntf</t>
  </si>
  <si>
    <t>Notification Hubs namespace</t>
  </si>
  <si>
    <t>ntfns</t>
  </si>
  <si>
    <t>OMS Workspace</t>
  </si>
  <si>
    <t>oms</t>
  </si>
  <si>
    <t>Policy definition</t>
  </si>
  <si>
    <t>policy</t>
  </si>
  <si>
    <t>PostgreSQL database</t>
  </si>
  <si>
    <t>psql</t>
  </si>
  <si>
    <t>Power BI Embedded</t>
  </si>
  <si>
    <t>pbi</t>
  </si>
  <si>
    <t>pvte</t>
  </si>
  <si>
    <t>^(?![_-])([a-zA-Z0-9_-]{1,49})([^_-]$)</t>
  </si>
  <si>
    <t>Public IP address</t>
  </si>
  <si>
    <t>pip</t>
  </si>
  <si>
    <t>Q&amp;A</t>
  </si>
  <si>
    <t>qna</t>
  </si>
  <si>
    <t>Recovery Services vault</t>
  </si>
  <si>
    <t>rsv</t>
  </si>
  <si>
    <t>rg</t>
  </si>
  <si>
    <t>Subscription</t>
  </si>
  <si>
    <t>a123456789012345678901234567890123456789012345678901234567890123</t>
  </si>
  <si>
    <t>Route table</t>
  </si>
  <si>
    <t>route</t>
  </si>
  <si>
    <t>sb</t>
  </si>
  <si>
    <t>Service Bus queue</t>
  </si>
  <si>
    <t>sbq</t>
  </si>
  <si>
    <t>Namespace</t>
  </si>
  <si>
    <t>Service Bus topic</t>
  </si>
  <si>
    <t>sbt</t>
  </si>
  <si>
    <t>Service Fabric cluster</t>
  </si>
  <si>
    <t>sf</t>
  </si>
  <si>
    <t>Region</t>
  </si>
  <si>
    <t>SQL Managed Instance</t>
  </si>
  <si>
    <t>sqlmi</t>
  </si>
  <si>
    <t>SQL Server Stretch Database</t>
  </si>
  <si>
    <t>sqlstrdb</t>
  </si>
  <si>
    <t>Static web app</t>
  </si>
  <si>
    <t>stapp</t>
  </si>
  <si>
    <t>st</t>
  </si>
  <si>
    <t>Subnet</t>
  </si>
  <si>
    <t>snet</t>
  </si>
  <si>
    <t>Time Series Insights environment</t>
  </si>
  <si>
    <t>tsi</t>
  </si>
  <si>
    <t>Traffic Manager profile</t>
  </si>
  <si>
    <t>traf</t>
  </si>
  <si>
    <t>\.-</t>
  </si>
  <si>
    <t>User defined route (UDR)</t>
  </si>
  <si>
    <t>udr</t>
  </si>
  <si>
    <t>Virtual machine</t>
  </si>
  <si>
    <t>vm</t>
  </si>
  <si>
    <t>Virtual machine Linux</t>
  </si>
  <si>
    <t>vmlx</t>
  </si>
  <si>
    <t>Virtual machine scale set</t>
  </si>
  <si>
    <t>vmss</t>
  </si>
  <si>
    <t>Virtual machine scale set Linux</t>
  </si>
  <si>
    <t>vmsslx</t>
  </si>
  <si>
    <t>Virtual network</t>
  </si>
  <si>
    <t>vnet</t>
  </si>
  <si>
    <t>Virtual network gateway</t>
  </si>
  <si>
    <t>vgw</t>
  </si>
  <si>
    <t>Virtual network peering</t>
  </si>
  <si>
    <t>peer</t>
  </si>
  <si>
    <t>VM storage account</t>
  </si>
  <si>
    <t>stvm</t>
  </si>
  <si>
    <t>VPN connection</t>
  </si>
  <si>
    <t>app</t>
  </si>
  <si>
    <t>Web Application Firewall (WAF) policy</t>
  </si>
  <si>
    <t>waf</t>
  </si>
  <si>
    <t>{productname}-{environmentLongCode}-{regionShortCode}-{component}-{resourcetypeShortCode}-{Identifier}</t>
  </si>
  <si>
    <t>{productname}{environmentLongCode}{regionShortCode}{component}{resourcetypeShortCode}{Identifier}</t>
  </si>
  <si>
    <t>dsip</t>
  </si>
  <si>
    <t>DataStrategyIP</t>
  </si>
  <si>
    <t>02</t>
  </si>
  <si>
    <t>governance</t>
  </si>
  <si>
    <t>storage</t>
  </si>
  <si>
    <t>runtimes</t>
  </si>
  <si>
    <t>metadata</t>
  </si>
  <si>
    <t>Subscription - Data Management Lz</t>
  </si>
  <si>
    <t>Subscription - Data Lz</t>
  </si>
  <si>
    <t>dataapplication</t>
  </si>
  <si>
    <t>adls</t>
  </si>
  <si>
    <t>blob</t>
  </si>
  <si>
    <t>mgmt</t>
  </si>
  <si>
    <t>sharedsynapse</t>
  </si>
  <si>
    <t>shareddatabricks</t>
  </si>
  <si>
    <t>externaldata</t>
  </si>
  <si>
    <t>Ingest</t>
  </si>
  <si>
    <t>logic apps</t>
  </si>
  <si>
    <t>api app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</si>
</sst>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1"/>
      <color theme="1"/>
      <name val="Segoe UI Light"/>
      <family val="2"/>
    </font>
    <font>
      <sz val="22"/>
      <color theme="1"/>
      <name val="Segoe UI Light"/>
      <family val="2"/>
    </font>
    <font>
      <sz val="14"/>
      <color theme="1"/>
      <name val="Segoe UI Light"/>
      <family val="2"/>
    </font>
    <font>
      <sz val="14"/>
      <color theme="0"/>
      <name val="Segoe UI Light"/>
      <family val="2"/>
    </font>
    <font>
      <sz val="48"/>
      <color theme="0"/>
      <name val="Segoe UI Light"/>
      <family val="2"/>
    </font>
    <font>
      <b/>
      <sz val="15"/>
      <color theme="3"/>
      <name val="Calibri"/>
      <family val="2"/>
      <scheme val="minor"/>
    </font>
    <font>
      <b/>
      <sz val="13"/>
      <color theme="3"/>
      <name val="Calibri"/>
      <family val="2"/>
      <scheme val="minor"/>
    </font>
    <font>
      <u/>
      <sz val="11"/>
      <color theme="10"/>
      <name val="Calibri"/>
      <family val="2"/>
      <scheme val="minor"/>
    </font>
    <font>
      <sz val="8"/>
      <name val="Calibri"/>
      <family val="2"/>
      <scheme val="minor"/>
    </font>
    <font>
      <b/>
      <sz val="11"/>
      <color theme="1"/>
      <name val="Segoe UI Light"/>
    </font>
    <font>
      <b/>
      <sz val="12"/>
      <color theme="1"/>
      <name val="Segoe UI Light"/>
    </font>
  </fonts>
  <fills count="5">
    <fill>
      <patternFill patternType="none"/>
    </fill>
    <fill>
      <patternFill patternType="gray125"/>
    </fill>
    <fill>
      <patternFill patternType="solid">
        <fgColor rgb="FF0070C0"/>
        <bgColor indexed="64"/>
      </patternFill>
    </fill>
    <fill>
      <patternFill patternType="solid">
        <fgColor theme="0" tint="-0.34998626667073579"/>
        <bgColor indexed="64"/>
      </patternFill>
    </fill>
    <fill>
      <patternFill patternType="solid">
        <fgColor theme="0" tint="-0.14999847407452621"/>
        <bgColor indexed="64"/>
      </patternFill>
    </fill>
  </fills>
  <borders count="3">
    <border>
      <left/>
      <right/>
      <top/>
      <bottom/>
      <diagonal/>
    </border>
    <border>
      <left/>
      <right/>
      <top/>
      <bottom style="thick">
        <color theme="4"/>
      </bottom>
      <diagonal/>
    </border>
    <border>
      <left/>
      <right/>
      <top/>
      <bottom style="thick">
        <color theme="4" tint="0.499984740745262"/>
      </bottom>
      <diagonal/>
    </border>
  </borders>
  <cellStyleXfs count="4">
    <xf numFmtId="0" fontId="0" fillId="0" borderId="0"/>
    <xf numFmtId="0" fontId="6" fillId="0" borderId="1" applyNumberFormat="0" applyFill="0" applyAlignment="0" applyProtection="0"/>
    <xf numFmtId="0" fontId="7" fillId="0" borderId="2" applyNumberFormat="0" applyFill="0" applyAlignment="0" applyProtection="0"/>
    <xf numFmtId="0" fontId="8" fillId="0" borderId="0" applyNumberFormat="0" applyFill="0" applyBorder="0" applyAlignment="0" applyProtection="0"/>
  </cellStyleXfs>
  <cellXfs count="33">
    <xf numFmtId="0" fontId="0" fillId="0" borderId="0" xfId="0"/>
    <xf numFmtId="0" fontId="1" fillId="0" borderId="0" xfId="0" applyFont="1" applyAlignment="1">
      <alignment vertical="top" wrapText="1"/>
    </xf>
    <xf numFmtId="0" fontId="1" fillId="0" borderId="0" xfId="0" applyFont="1" applyAlignment="1">
      <alignment horizontal="center"/>
    </xf>
    <xf numFmtId="0" fontId="1" fillId="0" borderId="0" xfId="0" applyFont="1"/>
    <xf numFmtId="0" fontId="1" fillId="0" borderId="0" xfId="0" applyFont="1" applyAlignment="1">
      <alignment horizontal="right"/>
    </xf>
    <xf numFmtId="1" fontId="1" fillId="0" borderId="0" xfId="0" applyNumberFormat="1" applyFont="1"/>
    <xf numFmtId="0" fontId="2" fillId="0" borderId="0" xfId="0" applyFont="1" applyAlignment="1">
      <alignment horizontal="center"/>
    </xf>
    <xf numFmtId="0" fontId="1" fillId="0" borderId="0" xfId="0" applyFont="1" applyAlignment="1">
      <alignment horizontal="left" vertical="top" wrapText="1"/>
    </xf>
    <xf numFmtId="0" fontId="4" fillId="2" borderId="0" xfId="0" applyFont="1" applyFill="1" applyAlignment="1">
      <alignment horizontal="center"/>
    </xf>
    <xf numFmtId="0" fontId="1" fillId="0" borderId="0" xfId="0" applyFont="1" applyAlignment="1">
      <alignment horizontal="left"/>
    </xf>
    <xf numFmtId="0" fontId="1" fillId="4" borderId="0" xfId="0" applyFont="1" applyFill="1"/>
    <xf numFmtId="0" fontId="1" fillId="4" borderId="0" xfId="0" applyFont="1" applyFill="1" applyAlignment="1">
      <alignment horizontal="left"/>
    </xf>
    <xf numFmtId="0" fontId="4" fillId="2" borderId="0" xfId="0" applyFont="1" applyFill="1" applyAlignment="1">
      <alignment horizontal="left"/>
    </xf>
    <xf numFmtId="0" fontId="3" fillId="3" borderId="0" xfId="0" applyFont="1" applyFill="1"/>
    <xf numFmtId="0" fontId="1" fillId="3" borderId="0" xfId="0" applyFont="1" applyFill="1"/>
    <xf numFmtId="0" fontId="0" fillId="0" borderId="0" xfId="0" applyAlignment="1">
      <alignment wrapText="1"/>
    </xf>
    <xf numFmtId="0" fontId="7" fillId="0" borderId="2" xfId="2"/>
    <xf numFmtId="0" fontId="6" fillId="0" borderId="1" xfId="1"/>
    <xf numFmtId="0" fontId="0" fillId="0" borderId="0" xfId="0" applyAlignment="1">
      <alignment horizontal="left" indent="2"/>
    </xf>
    <xf numFmtId="0" fontId="8" fillId="0" borderId="0" xfId="3"/>
    <xf numFmtId="49" fontId="0" fillId="0" borderId="0" xfId="0" applyNumberFormat="1"/>
    <xf numFmtId="0" fontId="1" fillId="0" borderId="0" xfId="0" quotePrefix="1" applyFont="1"/>
    <xf numFmtId="49" fontId="1" fillId="0" borderId="0" xfId="0" applyNumberFormat="1" applyFont="1"/>
    <xf numFmtId="0" fontId="10" fillId="0" borderId="0" xfId="0" applyFont="1"/>
    <xf numFmtId="49" fontId="10" fillId="0" borderId="0" xfId="0" applyNumberFormat="1" applyFont="1"/>
    <xf numFmtId="0" fontId="10" fillId="0" borderId="0" xfId="0" applyFont="1" applyAlignment="1">
      <alignment horizontal="left"/>
    </xf>
    <xf numFmtId="0" fontId="10" fillId="0" borderId="0" xfId="0" applyFont="1" applyAlignment="1">
      <alignment horizontal="right"/>
    </xf>
    <xf numFmtId="0" fontId="11" fillId="0" borderId="0" xfId="0" applyFont="1"/>
    <xf numFmtId="0" fontId="5" fillId="2" borderId="0" xfId="0" applyFont="1" applyFill="1" applyAlignment="1">
      <alignment horizontal="center"/>
    </xf>
    <xf numFmtId="0" fontId="1" fillId="4" borderId="0" xfId="0" applyFont="1" applyFill="1" applyAlignment="1">
      <alignment horizontal="left"/>
    </xf>
    <xf numFmtId="0" fontId="1" fillId="0" borderId="0" xfId="0" applyFont="1" applyAlignment="1">
      <alignment horizontal="center"/>
    </xf>
    <xf numFmtId="0" fontId="1" fillId="0" borderId="0" xfId="0" applyFont="1" applyAlignment="1">
      <alignment horizontal="left" vertical="top" wrapText="1"/>
    </xf>
    <xf numFmtId="0" fontId="2" fillId="0" borderId="0" xfId="0" applyFont="1" applyAlignment="1">
      <alignment horizontal="center"/>
    </xf>
  </cellXfs>
  <cellStyles count="4">
    <cellStyle name="Heading 1" xfId="1" builtinId="16"/>
    <cellStyle name="Heading 2" xfId="2" builtinId="17"/>
    <cellStyle name="Hyperlink" xfId="3" builtinId="8"/>
    <cellStyle name="Normal" xfId="0" builtinId="0"/>
  </cellStyles>
  <dxfs count="44">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b val="0"/>
        <i val="0"/>
        <strike val="0"/>
        <condense val="0"/>
        <extend val="0"/>
        <outline val="0"/>
        <shadow val="0"/>
        <u val="none"/>
        <vertAlign val="baseline"/>
        <sz val="11"/>
        <color theme="1"/>
        <name val="Segoe UI Light"/>
        <family val="2"/>
        <scheme val="none"/>
      </font>
    </dxf>
    <dxf>
      <font>
        <b val="0"/>
        <i val="0"/>
        <strike val="0"/>
        <condense val="0"/>
        <extend val="0"/>
        <outline val="0"/>
        <shadow val="0"/>
        <u val="none"/>
        <vertAlign val="baseline"/>
        <sz val="11"/>
        <color theme="1"/>
        <name val="Segoe UI Light"/>
        <family val="2"/>
        <scheme val="none"/>
      </font>
    </dxf>
    <dxf>
      <font>
        <b val="0"/>
        <i val="0"/>
        <strike val="0"/>
        <condense val="0"/>
        <extend val="0"/>
        <outline val="0"/>
        <shadow val="0"/>
        <u val="none"/>
        <vertAlign val="baseline"/>
        <sz val="11"/>
        <color theme="1"/>
        <name val="Segoe UI Light"/>
        <family val="2"/>
        <scheme val="none"/>
      </font>
    </dxf>
    <dxf>
      <font>
        <b val="0"/>
        <i val="0"/>
        <strike val="0"/>
        <condense val="0"/>
        <extend val="0"/>
        <outline val="0"/>
        <shadow val="0"/>
        <u val="none"/>
        <vertAlign val="baseline"/>
        <sz val="11"/>
        <color theme="1"/>
        <name val="Segoe UI Light"/>
        <family val="2"/>
        <scheme val="none"/>
      </font>
    </dxf>
    <dxf>
      <font>
        <b val="0"/>
        <i val="0"/>
        <strike val="0"/>
        <condense val="0"/>
        <extend val="0"/>
        <outline val="0"/>
        <shadow val="0"/>
        <u val="none"/>
        <vertAlign val="baseline"/>
        <sz val="11"/>
        <color theme="1"/>
        <name val="Segoe UI Light"/>
        <family val="2"/>
        <scheme val="none"/>
      </font>
    </dxf>
    <dxf>
      <font>
        <b val="0"/>
        <i val="0"/>
        <strike val="0"/>
        <condense val="0"/>
        <extend val="0"/>
        <outline val="0"/>
        <shadow val="0"/>
        <u val="none"/>
        <vertAlign val="baseline"/>
        <sz val="11"/>
        <color theme="1"/>
        <name val="Segoe UI Light"/>
        <family val="2"/>
        <scheme val="none"/>
      </font>
    </dxf>
    <dxf>
      <font>
        <b val="0"/>
        <i val="0"/>
        <strike val="0"/>
        <condense val="0"/>
        <extend val="0"/>
        <outline val="0"/>
        <shadow val="0"/>
        <u val="none"/>
        <vertAlign val="baseline"/>
        <sz val="11"/>
        <color theme="1"/>
        <name val="Segoe UI Light"/>
        <family val="2"/>
        <scheme val="none"/>
      </font>
    </dxf>
    <dxf>
      <font>
        <b val="0"/>
        <i val="0"/>
        <strike val="0"/>
        <condense val="0"/>
        <extend val="0"/>
        <outline val="0"/>
        <shadow val="0"/>
        <u val="none"/>
        <vertAlign val="baseline"/>
        <sz val="11"/>
        <color theme="1"/>
        <name val="Segoe UI Light"/>
        <family val="2"/>
        <scheme val="none"/>
      </font>
    </dxf>
    <dxf>
      <font>
        <b val="0"/>
        <i val="0"/>
        <strike val="0"/>
        <condense val="0"/>
        <extend val="0"/>
        <outline val="0"/>
        <shadow val="0"/>
        <u val="none"/>
        <vertAlign val="baseline"/>
        <sz val="11"/>
        <color theme="1"/>
        <name val="Segoe UI Light"/>
        <family val="2"/>
        <scheme val="none"/>
      </font>
    </dxf>
    <dxf>
      <font>
        <b val="0"/>
        <i val="0"/>
        <strike val="0"/>
        <condense val="0"/>
        <extend val="0"/>
        <outline val="0"/>
        <shadow val="0"/>
        <u val="none"/>
        <vertAlign val="baseline"/>
        <sz val="11"/>
        <color theme="1"/>
        <name val="Segoe UI Light"/>
        <family val="2"/>
        <scheme val="none"/>
      </font>
    </dxf>
    <dxf>
      <font>
        <b val="0"/>
        <i val="0"/>
        <strike val="0"/>
        <condense val="0"/>
        <extend val="0"/>
        <outline val="0"/>
        <shadow val="0"/>
        <u val="none"/>
        <vertAlign val="baseline"/>
        <sz val="11"/>
        <color theme="1"/>
        <name val="Segoe UI Light"/>
        <family val="2"/>
        <scheme val="none"/>
      </font>
    </dxf>
    <dxf>
      <font>
        <b val="0"/>
        <i val="0"/>
        <strike val="0"/>
        <condense val="0"/>
        <extend val="0"/>
        <outline val="0"/>
        <shadow val="0"/>
        <u val="none"/>
        <vertAlign val="baseline"/>
        <sz val="11"/>
        <color theme="1"/>
        <name val="Segoe UI Light"/>
        <family val="2"/>
        <scheme val="none"/>
      </font>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E31BB6-F53F-4057-B843-4A62E483FC3D}" name="Table1" displayName="Table1" ref="N3:W114" totalsRowShown="0" headerRowDxfId="43" dataDxfId="42">
  <autoFilter ref="N3:W114" xr:uid="{3F26A31C-4EDC-44FB-9F89-302E82735084}"/>
  <sortState xmlns:xlrd2="http://schemas.microsoft.com/office/spreadsheetml/2017/richdata2" ref="N4:W114">
    <sortCondition ref="N4:N114"/>
  </sortState>
  <tableColumns count="10">
    <tableColumn id="1" xr3:uid="{8C6FEF98-0CA0-46B2-93C5-5280FB11E94F}" name="Resource Type" dataDxfId="41"/>
    <tableColumn id="2" xr3:uid="{32694D61-A7EA-4209-9045-112C097D14DE}" name="Short Code" dataDxfId="40"/>
    <tableColumn id="3" xr3:uid="{88DF1447-C6AD-480D-AC9E-358617174F4B}" name="Long Code" dataDxfId="39"/>
    <tableColumn id="4" xr3:uid="{B0667012-3CD5-4668-9055-D2E6A4D9F6B9}" name="Scope" dataDxfId="38"/>
    <tableColumn id="5" xr3:uid="{B95E23E9-BD8E-4873-B16B-6D75F7120BAF}" name="ID" dataDxfId="37"/>
    <tableColumn id="9" xr3:uid="{2A8DC5EA-D63E-4629-8C4F-4818B810BD8F}" name="Character min" dataDxfId="36"/>
    <tableColumn id="6" xr3:uid="{A18E62CD-2270-4A84-A105-EBD82F1724F4}" name="Character Limit" dataDxfId="35"/>
    <tableColumn id="10" xr3:uid="{5C3AA4FF-01A4-4A6E-99FD-1B8F18AAAB59}" name="Casing" dataDxfId="34"/>
    <tableColumn id="11" xr3:uid="{A62E8332-C2AD-4A2D-84A5-822DBE1CF288}" name="special chars" dataDxfId="33"/>
    <tableColumn id="7" xr3:uid="{931CD6A9-FBFB-44F7-AF37-7847EDC039AF}" name="Validation Expression" dataDxfId="32">
      <calculatedColumnFormula>"^(?![_-])([a-z"&amp; IF(Table1[[#This Row],[Casing]]="Insensitive","A-Z","")&amp;"0-9"&amp; Table1[[#This Row],[special chars]]&amp;"]{"&amp;Table1[[#This Row],[Character min]]&amp;","&amp;Table1[[#This Row],[Character Limit]]-1&amp;"})([^_-]$)"</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regex101.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2E08F-3C49-48EC-A656-689383F8432B}">
  <sheetPr codeName="Sheet1"/>
  <dimension ref="A1:C41"/>
  <sheetViews>
    <sheetView zoomScale="119" zoomScaleNormal="100" workbookViewId="0">
      <selection activeCell="A6" sqref="A6"/>
    </sheetView>
  </sheetViews>
  <sheetFormatPr baseColWidth="10" defaultColWidth="8.83203125" defaultRowHeight="15" x14ac:dyDescent="0.2"/>
  <cols>
    <col min="1" max="1" width="171" customWidth="1"/>
  </cols>
  <sheetData>
    <row r="1" spans="1:1" ht="21" thickBot="1" x14ac:dyDescent="0.3">
      <c r="A1" s="17" t="s">
        <v>0</v>
      </c>
    </row>
    <row r="2" spans="1:1" ht="17" thickTop="1" x14ac:dyDescent="0.2">
      <c r="A2" s="15" t="s">
        <v>1</v>
      </c>
    </row>
    <row r="4" spans="1:1" ht="18" thickBot="1" x14ac:dyDescent="0.25">
      <c r="A4" s="16" t="s">
        <v>2</v>
      </c>
    </row>
    <row r="5" spans="1:1" ht="65" thickTop="1" x14ac:dyDescent="0.2">
      <c r="A5" s="15" t="s">
        <v>3</v>
      </c>
    </row>
    <row r="6" spans="1:1" x14ac:dyDescent="0.2">
      <c r="A6" s="18" t="s">
        <v>4</v>
      </c>
    </row>
    <row r="7" spans="1:1" x14ac:dyDescent="0.2">
      <c r="A7" s="18" t="s">
        <v>5</v>
      </c>
    </row>
    <row r="8" spans="1:1" x14ac:dyDescent="0.2">
      <c r="A8" s="18" t="s">
        <v>6</v>
      </c>
    </row>
    <row r="9" spans="1:1" x14ac:dyDescent="0.2">
      <c r="A9" s="18" t="s">
        <v>7</v>
      </c>
    </row>
    <row r="10" spans="1:1" x14ac:dyDescent="0.2">
      <c r="A10" s="18" t="s">
        <v>8</v>
      </c>
    </row>
    <row r="11" spans="1:1" x14ac:dyDescent="0.2">
      <c r="A11" s="18" t="s">
        <v>9</v>
      </c>
    </row>
    <row r="12" spans="1:1" x14ac:dyDescent="0.2">
      <c r="A12" s="18" t="s">
        <v>10</v>
      </c>
    </row>
    <row r="13" spans="1:1" x14ac:dyDescent="0.2">
      <c r="A13" s="18" t="s">
        <v>11</v>
      </c>
    </row>
    <row r="14" spans="1:1" x14ac:dyDescent="0.2">
      <c r="A14" s="18" t="s">
        <v>12</v>
      </c>
    </row>
    <row r="15" spans="1:1" x14ac:dyDescent="0.2">
      <c r="A15" s="18" t="s">
        <v>13</v>
      </c>
    </row>
    <row r="16" spans="1:1" x14ac:dyDescent="0.2">
      <c r="A16" s="18" t="s">
        <v>14</v>
      </c>
    </row>
    <row r="17" spans="1:1" x14ac:dyDescent="0.2">
      <c r="A17" s="18" t="s">
        <v>15</v>
      </c>
    </row>
    <row r="18" spans="1:1" x14ac:dyDescent="0.2">
      <c r="A18" s="18" t="s">
        <v>16</v>
      </c>
    </row>
    <row r="19" spans="1:1" x14ac:dyDescent="0.2">
      <c r="A19" s="18" t="s">
        <v>17</v>
      </c>
    </row>
    <row r="20" spans="1:1" x14ac:dyDescent="0.2">
      <c r="A20" s="18" t="s">
        <v>18</v>
      </c>
    </row>
    <row r="21" spans="1:1" x14ac:dyDescent="0.2">
      <c r="A21" s="18" t="s">
        <v>19</v>
      </c>
    </row>
    <row r="23" spans="1:1" ht="64" x14ac:dyDescent="0.2">
      <c r="A23" s="15" t="s">
        <v>20</v>
      </c>
    </row>
    <row r="25" spans="1:1" ht="18" thickBot="1" x14ac:dyDescent="0.25">
      <c r="A25" s="16" t="s">
        <v>21</v>
      </c>
    </row>
    <row r="26" spans="1:1" ht="129" thickTop="1" x14ac:dyDescent="0.2">
      <c r="A26" s="15" t="s">
        <v>22</v>
      </c>
    </row>
    <row r="27" spans="1:1" x14ac:dyDescent="0.2">
      <c r="A27" s="19" t="s">
        <v>23</v>
      </c>
    </row>
    <row r="41" spans="1:3" x14ac:dyDescent="0.2">
      <c r="A41" s="20"/>
      <c r="C41" s="20"/>
    </row>
  </sheetData>
  <hyperlinks>
    <hyperlink ref="A27" r:id="rId1" xr:uid="{8D553E18-078B-46C8-A0A2-977D023FB37F}"/>
  </hyperlinks>
  <pageMargins left="0.7" right="0.7" top="0.75" bottom="0.75" header="0.3" footer="0.3"/>
  <pageSetup paperSize="9" orientation="portrait" verticalDpi="0"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804F33-0334-49AB-A747-F3C90BA159C7}">
  <sheetPr codeName="Sheet4"/>
  <dimension ref="A1:X39"/>
  <sheetViews>
    <sheetView tabSelected="1" topLeftCell="A2" zoomScale="115" zoomScaleNormal="115" workbookViewId="0">
      <selection activeCell="F43" sqref="F43"/>
    </sheetView>
  </sheetViews>
  <sheetFormatPr baseColWidth="10" defaultColWidth="9.1640625" defaultRowHeight="14" x14ac:dyDescent="0.2"/>
  <cols>
    <col min="1" max="1" width="33.1640625" style="3" bestFit="1" customWidth="1"/>
    <col min="2" max="2" width="15.33203125" style="3" bestFit="1" customWidth="1"/>
    <col min="3" max="3" width="10.6640625" style="22" customWidth="1"/>
    <col min="4" max="4" width="17" style="9" bestFit="1" customWidth="1"/>
    <col min="5" max="5" width="24" style="3" customWidth="1"/>
    <col min="6" max="6" width="35" style="3" customWidth="1"/>
    <col min="7" max="7" width="17.83203125" style="3" bestFit="1" customWidth="1"/>
    <col min="8" max="8" width="21.83203125" style="3" hidden="1" customWidth="1"/>
    <col min="9" max="9" width="16.6640625" style="3" hidden="1" customWidth="1"/>
    <col min="10" max="11" width="20.6640625" style="3" hidden="1" customWidth="1"/>
    <col min="12" max="12" width="13.5" style="3" hidden="1" customWidth="1"/>
    <col min="13" max="13" width="11.83203125" style="3" hidden="1" customWidth="1"/>
    <col min="14" max="14" width="16" style="3" hidden="1" customWidth="1"/>
    <col min="15" max="15" width="10.5" style="3" hidden="1" customWidth="1"/>
    <col min="16" max="16" width="15.83203125" style="3" hidden="1" customWidth="1"/>
    <col min="17" max="17" width="12.83203125" style="3" hidden="1" customWidth="1"/>
    <col min="18" max="18" width="18.33203125" style="3" hidden="1" customWidth="1"/>
    <col min="19" max="19" width="16.5" style="4" hidden="1" customWidth="1"/>
    <col min="20" max="20" width="23.5" style="3" hidden="1" customWidth="1"/>
    <col min="21" max="21" width="21.6640625" style="3" hidden="1" customWidth="1"/>
    <col min="22" max="22" width="21.33203125" style="3" hidden="1" customWidth="1"/>
    <col min="23" max="23" width="14.1640625" style="3" hidden="1" customWidth="1"/>
    <col min="24" max="24" width="87" style="3" bestFit="1" customWidth="1"/>
    <col min="25" max="16384" width="9.1640625" style="3"/>
  </cols>
  <sheetData>
    <row r="1" spans="1:24" ht="59" x14ac:dyDescent="0.65">
      <c r="A1" s="28" t="s">
        <v>24</v>
      </c>
      <c r="B1" s="28"/>
      <c r="C1" s="28"/>
      <c r="D1" s="28"/>
      <c r="E1" s="28"/>
      <c r="F1" s="28"/>
      <c r="G1" s="28"/>
      <c r="H1" s="28"/>
    </row>
    <row r="2" spans="1:24" ht="18" x14ac:dyDescent="0.25">
      <c r="A2" s="13" t="s">
        <v>25</v>
      </c>
      <c r="B2" s="29" t="s">
        <v>386</v>
      </c>
      <c r="C2" s="29"/>
      <c r="D2" s="29"/>
      <c r="E2" s="29"/>
      <c r="F2" s="29"/>
      <c r="G2" s="10"/>
      <c r="H2" s="10"/>
    </row>
    <row r="3" spans="1:24" ht="18" x14ac:dyDescent="0.25">
      <c r="A3" s="13" t="s">
        <v>26</v>
      </c>
      <c r="B3" s="29" t="s">
        <v>385</v>
      </c>
      <c r="C3" s="29"/>
      <c r="D3" s="29"/>
      <c r="E3" s="29"/>
      <c r="F3" s="29"/>
      <c r="G3" s="10"/>
      <c r="H3" s="10"/>
    </row>
    <row r="4" spans="1:24" ht="18" x14ac:dyDescent="0.25">
      <c r="A4" s="13" t="s">
        <v>28</v>
      </c>
      <c r="B4" s="29" t="s">
        <v>383</v>
      </c>
      <c r="C4" s="29"/>
      <c r="D4" s="29"/>
      <c r="E4" s="29"/>
      <c r="F4" s="29"/>
      <c r="G4" s="10"/>
      <c r="H4" s="10"/>
    </row>
    <row r="5" spans="1:24" ht="18" x14ac:dyDescent="0.25">
      <c r="A5" s="13" t="s">
        <v>29</v>
      </c>
      <c r="B5" s="10" t="s">
        <v>30</v>
      </c>
      <c r="C5" s="10"/>
      <c r="D5" s="11"/>
      <c r="E5" s="10"/>
      <c r="F5" s="10"/>
      <c r="G5" s="10"/>
      <c r="H5" s="10"/>
    </row>
    <row r="6" spans="1:24" x14ac:dyDescent="0.2">
      <c r="A6" s="14"/>
      <c r="B6" s="10"/>
      <c r="C6" s="10"/>
      <c r="D6" s="11"/>
      <c r="E6" s="10"/>
      <c r="F6" s="10"/>
      <c r="G6" s="10"/>
      <c r="H6" s="10"/>
      <c r="I6" s="30" t="s">
        <v>31</v>
      </c>
      <c r="J6" s="30"/>
      <c r="K6" s="30"/>
      <c r="L6" s="30"/>
      <c r="M6" s="30"/>
      <c r="N6" s="30"/>
      <c r="O6" s="30"/>
      <c r="P6" s="30"/>
      <c r="Q6" s="30"/>
      <c r="R6" s="30"/>
      <c r="S6" s="30"/>
      <c r="T6" s="30"/>
      <c r="U6" s="30"/>
      <c r="V6" s="30"/>
      <c r="W6" s="30"/>
    </row>
    <row r="7" spans="1:24" ht="18" x14ac:dyDescent="0.25">
      <c r="A7" s="8" t="s">
        <v>32</v>
      </c>
      <c r="B7" s="8" t="s">
        <v>33</v>
      </c>
      <c r="C7" s="8" t="s">
        <v>70</v>
      </c>
      <c r="D7" s="12" t="s">
        <v>34</v>
      </c>
      <c r="E7" s="8" t="s">
        <v>35</v>
      </c>
      <c r="F7" s="8" t="s">
        <v>36</v>
      </c>
      <c r="G7" s="8" t="s">
        <v>37</v>
      </c>
      <c r="H7" s="8" t="s">
        <v>38</v>
      </c>
      <c r="I7" s="2" t="s">
        <v>39</v>
      </c>
      <c r="J7" s="2" t="s">
        <v>40</v>
      </c>
      <c r="K7" s="2" t="s">
        <v>41</v>
      </c>
      <c r="L7" s="2" t="s">
        <v>42</v>
      </c>
      <c r="M7" s="2" t="s">
        <v>43</v>
      </c>
      <c r="N7" s="2" t="s">
        <v>44</v>
      </c>
      <c r="O7" s="2" t="s">
        <v>45</v>
      </c>
      <c r="P7" s="2" t="s">
        <v>46</v>
      </c>
      <c r="Q7" s="2" t="s">
        <v>47</v>
      </c>
      <c r="R7" s="2" t="s">
        <v>48</v>
      </c>
      <c r="S7" s="2" t="s">
        <v>49</v>
      </c>
      <c r="T7" s="3" t="s">
        <v>50</v>
      </c>
      <c r="U7" s="3" t="s">
        <v>51</v>
      </c>
      <c r="V7" s="3" t="s">
        <v>52</v>
      </c>
      <c r="W7" s="3" t="s">
        <v>53</v>
      </c>
      <c r="X7" s="8" t="s">
        <v>54</v>
      </c>
    </row>
    <row r="8" spans="1:24" ht="15" x14ac:dyDescent="0.2">
      <c r="A8" s="27" t="s">
        <v>392</v>
      </c>
    </row>
    <row r="9" spans="1:24" s="23" customFormat="1" x14ac:dyDescent="0.2">
      <c r="A9" s="23" t="s">
        <v>55</v>
      </c>
      <c r="B9" s="24" t="s">
        <v>388</v>
      </c>
      <c r="C9" s="24"/>
      <c r="D9" s="25" t="s">
        <v>56</v>
      </c>
      <c r="E9" s="23" t="s">
        <v>57</v>
      </c>
      <c r="F9" s="23" t="str">
        <f>IFERROR(IF($B$5="Lower", LOWER(ComputeResourceName(IF(ISBLANK($X9),$B$4,$X9),$B$3,$B$2,B9,I9,J9,K9,L9,M9,O9,P9,N9,S9,T9,U9,V9,W9,0,C9)), ComputeResourceName(IF(ISBLANK($X9),$B$4,$X9),$B$3,$B$2,B9,I9,J9,K9,L9,M9,O9,P9,N9,S9,T9,U9,V9,W9,0,C9)),"")</f>
        <v>dsip-dev-uks-governance-rg</v>
      </c>
      <c r="G9" s="23">
        <f xml:space="preserve"> IF(F9="","",  IFERROR(VLOOKUP(E9,Table1[],7,FALSE)-LEN(F9),0))</f>
        <v>38</v>
      </c>
      <c r="H9" s="23" t="b">
        <f>IF(F9="","",IFERROR(matches(F9,VLOOKUP(E9,Table1[],10,FALSE)),FALSE))</f>
        <v>0</v>
      </c>
      <c r="I9" s="23" t="str">
        <f>VLOOKUP(A9,LookupLists!$I$3:$L$60,1,FALSE)</f>
        <v>Development</v>
      </c>
      <c r="J9" s="23" t="str">
        <f>VLOOKUP(A9,LookupLists!$I$3:$L$60,2,FALSE)</f>
        <v>d</v>
      </c>
      <c r="K9" s="23" t="str">
        <f>VLOOKUP(A9,LookupLists!$I$3:$L$60,3,FALSE)</f>
        <v>dev</v>
      </c>
      <c r="L9" s="23">
        <f>VLOOKUP(A9,LookupLists!$I$3:$L$60,4,FALSE)</f>
        <v>1</v>
      </c>
      <c r="M9" s="23" t="str">
        <f>VLOOKUP(D9,LookupLists!$A$3:$G$60,1,FALSE)</f>
        <v>UK South</v>
      </c>
      <c r="N9" s="23" t="str">
        <f>VLOOKUP(D9,LookupLists!$A$3:$G$60,4,FALSE)</f>
        <v>uks</v>
      </c>
      <c r="O9" s="23" t="str">
        <f>VLOOKUP(D9,LookupLists!$A$3:$G$60,2,FALSE)</f>
        <v>uk</v>
      </c>
      <c r="P9" s="23" t="str">
        <f>VLOOKUP(D9,LookupLists!$A$3:$G$60,3,FALSE)</f>
        <v>s</v>
      </c>
      <c r="Q9" s="23">
        <f>VLOOKUP(D9,LookupLists!$A$3:$G$60,5,FALSE)</f>
        <v>96</v>
      </c>
      <c r="R9" s="23">
        <f>VLOOKUP(D9,LookupLists!$A$3:$G$60,6,FALSE)</f>
        <v>4</v>
      </c>
      <c r="S9" s="26" t="str">
        <f>VLOOKUP(D9,LookupLists!$A$3:$G$60,7,FALSE)</f>
        <v>64</v>
      </c>
      <c r="T9" s="23" t="str">
        <f>VLOOKUP(E9,Table1[[Resource Type]:[Validation Expression]],1,FALSE)</f>
        <v>Resource Group</v>
      </c>
      <c r="U9" s="23" t="str">
        <f>VLOOKUP(E9,Table1[[Resource Type]:[Validation Expression]],2,FALSE)</f>
        <v>rg</v>
      </c>
      <c r="V9" s="23" t="str">
        <f>VLOOKUP(E9,Table1[[Resource Type]:[Validation Expression]],3,FALSE)</f>
        <v>rg</v>
      </c>
      <c r="W9" s="23" t="str">
        <f>VLOOKUP(E9,Table1[],5,FALSE)</f>
        <v>x</v>
      </c>
    </row>
    <row r="10" spans="1:24" x14ac:dyDescent="0.2">
      <c r="A10" s="3" t="s">
        <v>55</v>
      </c>
      <c r="C10" s="22" t="s">
        <v>71</v>
      </c>
      <c r="D10" s="9" t="s">
        <v>56</v>
      </c>
      <c r="E10" s="3" t="s">
        <v>215</v>
      </c>
      <c r="F10" s="3" t="str">
        <f>IFERROR(IF($B$5="Lower", LOWER(ComputeResourceName(IF(ISBLANK($X10),$B$4,$X10),$B$3,$B$2,B10,I10,J10,K10,L10,M10,O10,P10,N10,S10,T10,U10,V10,W10,0,C10)), ComputeResourceName(IF(ISBLANK($X10),$B$4,$X10),$B$3,$B$2,B10,I10,J10,K10,L10,M10,O10,P10,N10,S10,T10,U10,V10,W10,0,C10)),"")</f>
        <v>dsip-dev-uks-pview-01</v>
      </c>
      <c r="G10" s="3">
        <f xml:space="preserve"> IF(F10="","",  IFERROR(VLOOKUP(E10,Table1[],7,FALSE)-LEN(F10),0))</f>
        <v>42</v>
      </c>
      <c r="H10" s="3" t="b">
        <f>IF(F10="","",IFERROR(matches(F10,VLOOKUP(E10,Table1[],10,FALSE)),FALSE))</f>
        <v>0</v>
      </c>
      <c r="I10" s="3" t="str">
        <f>VLOOKUP(A10,LookupLists!$I$3:$L$60,1,FALSE)</f>
        <v>Development</v>
      </c>
      <c r="J10" s="3" t="str">
        <f>VLOOKUP(A10,LookupLists!$I$3:$L$60,2,FALSE)</f>
        <v>d</v>
      </c>
      <c r="K10" s="3" t="str">
        <f>VLOOKUP(A10,LookupLists!$I$3:$L$60,3,FALSE)</f>
        <v>dev</v>
      </c>
      <c r="L10" s="3">
        <f>VLOOKUP(A10,LookupLists!$I$3:$L$60,4,FALSE)</f>
        <v>1</v>
      </c>
      <c r="M10" s="3" t="str">
        <f>VLOOKUP(D10,LookupLists!$A$3:$G$60,1,FALSE)</f>
        <v>UK South</v>
      </c>
      <c r="N10" s="3" t="str">
        <f>VLOOKUP(D10,LookupLists!$A$3:$G$60,4,FALSE)</f>
        <v>uks</v>
      </c>
      <c r="O10" s="3" t="str">
        <f>VLOOKUP(D10,LookupLists!$A$3:$G$60,2,FALSE)</f>
        <v>uk</v>
      </c>
      <c r="P10" s="3" t="str">
        <f>VLOOKUP(D10,LookupLists!$A$3:$G$60,3,FALSE)</f>
        <v>s</v>
      </c>
      <c r="Q10" s="3">
        <f>VLOOKUP(D10,LookupLists!$A$3:$G$60,5,FALSE)</f>
        <v>96</v>
      </c>
      <c r="R10" s="3">
        <f>VLOOKUP(D10,LookupLists!$A$3:$G$60,6,FALSE)</f>
        <v>4</v>
      </c>
      <c r="S10" s="4" t="str">
        <f>VLOOKUP(D10,LookupLists!$A$3:$G$60,7,FALSE)</f>
        <v>64</v>
      </c>
      <c r="T10" s="3" t="str">
        <f>VLOOKUP(E10,Table1[[Resource Type]:[Validation Expression]],1,FALSE)</f>
        <v>Azure Purview instance</v>
      </c>
      <c r="U10" s="3" t="str">
        <f>VLOOKUP(E10,Table1[[Resource Type]:[Validation Expression]],2,FALSE)</f>
        <v>pview</v>
      </c>
      <c r="V10" s="3" t="str">
        <f>VLOOKUP(E10,Table1[[Resource Type]:[Validation Expression]],3,FALSE)</f>
        <v>pview</v>
      </c>
      <c r="W10" s="3">
        <f>VLOOKUP(E10,Table1[],5,FALSE)</f>
        <v>0</v>
      </c>
    </row>
    <row r="12" spans="1:24" ht="15" x14ac:dyDescent="0.2">
      <c r="A12" s="27" t="s">
        <v>393</v>
      </c>
    </row>
    <row r="13" spans="1:24" s="23" customFormat="1" x14ac:dyDescent="0.2">
      <c r="A13" s="23" t="s">
        <v>55</v>
      </c>
      <c r="B13" s="24" t="s">
        <v>389</v>
      </c>
      <c r="C13" s="24"/>
      <c r="D13" s="25" t="s">
        <v>56</v>
      </c>
      <c r="E13" s="23" t="s">
        <v>57</v>
      </c>
      <c r="F13" s="23" t="str">
        <f>IFERROR(IF($B$5="Lower", LOWER(ComputeResourceName(IF(ISBLANK($X13),$B$4,$X13),$B$3,$B$2,B13,I13,J13,K13,L13,M13,O13,P13,N13,S13,T13,U13,V13,W13,0,C13)), ComputeResourceName(IF(ISBLANK($X13),$B$4,$X13),$B$3,$B$2,B13,I13,J13,K13,L13,M13,O13,P13,N13,S13,T13,U13,V13,W13,0,C13)),"")</f>
        <v>dsip-dev-uks-storage-rg</v>
      </c>
      <c r="G13" s="23">
        <f xml:space="preserve"> IF(F13="","",  IFERROR(VLOOKUP(E13,Table1[],7,FALSE)-LEN(F13),0))</f>
        <v>41</v>
      </c>
      <c r="H13" s="23" t="b">
        <f>IF(F13="","",IFERROR(matches(F13,VLOOKUP(E13,Table1[],10,FALSE)),FALSE))</f>
        <v>0</v>
      </c>
      <c r="I13" s="23" t="str">
        <f>VLOOKUP(A13,LookupLists!$I$3:$L$60,1,FALSE)</f>
        <v>Development</v>
      </c>
      <c r="J13" s="23" t="str">
        <f>VLOOKUP(A13,LookupLists!$I$3:$L$60,2,FALSE)</f>
        <v>d</v>
      </c>
      <c r="K13" s="23" t="str">
        <f>VLOOKUP(A13,LookupLists!$I$3:$L$60,3,FALSE)</f>
        <v>dev</v>
      </c>
      <c r="L13" s="23">
        <f>VLOOKUP(A13,LookupLists!$I$3:$L$60,4,FALSE)</f>
        <v>1</v>
      </c>
      <c r="M13" s="23" t="str">
        <f>VLOOKUP(D13,LookupLists!$A$3:$G$60,1,FALSE)</f>
        <v>UK South</v>
      </c>
      <c r="N13" s="23" t="str">
        <f>VLOOKUP(D13,LookupLists!$A$3:$G$60,4,FALSE)</f>
        <v>uks</v>
      </c>
      <c r="O13" s="23" t="str">
        <f>VLOOKUP(D13,LookupLists!$A$3:$G$60,2,FALSE)</f>
        <v>uk</v>
      </c>
      <c r="P13" s="23" t="str">
        <f>VLOOKUP(D13,LookupLists!$A$3:$G$60,3,FALSE)</f>
        <v>s</v>
      </c>
      <c r="Q13" s="23">
        <f>VLOOKUP(D13,LookupLists!$A$3:$G$60,5,FALSE)</f>
        <v>96</v>
      </c>
      <c r="R13" s="23">
        <f>VLOOKUP(D13,LookupLists!$A$3:$G$60,6,FALSE)</f>
        <v>4</v>
      </c>
      <c r="S13" s="26" t="str">
        <f>VLOOKUP(D13,LookupLists!$A$3:$G$60,7,FALSE)</f>
        <v>64</v>
      </c>
      <c r="T13" s="23" t="str">
        <f>VLOOKUP(E13,Table1[[Resource Type]:[Validation Expression]],1,FALSE)</f>
        <v>Resource Group</v>
      </c>
      <c r="U13" s="23" t="str">
        <f>VLOOKUP(E13,Table1[[Resource Type]:[Validation Expression]],2,FALSE)</f>
        <v>rg</v>
      </c>
      <c r="V13" s="23" t="str">
        <f>VLOOKUP(E13,Table1[[Resource Type]:[Validation Expression]],3,FALSE)</f>
        <v>rg</v>
      </c>
      <c r="W13" s="23" t="str">
        <f>VLOOKUP(E13,Table1[],5,FALSE)</f>
        <v>x</v>
      </c>
    </row>
    <row r="14" spans="1:24" x14ac:dyDescent="0.2">
      <c r="A14" s="3" t="s">
        <v>55</v>
      </c>
      <c r="B14" s="3" t="s">
        <v>395</v>
      </c>
      <c r="C14" s="22" t="s">
        <v>71</v>
      </c>
      <c r="D14" s="9" t="s">
        <v>56</v>
      </c>
      <c r="E14" s="3" t="s">
        <v>63</v>
      </c>
      <c r="F14" s="3" t="str">
        <f>IFERROR(IF($B$5="Lower", LOWER(ComputeResourceName(IF(ISBLANK($X14),$B$4,$X14),$B$3,$B$2,B14,I14,J14,K14,L14,M14,O14,P14,N14,S14,T14,U14,V14,W14,0,C14)), ComputeResourceName(IF(ISBLANK($X14),$B$4,$X14),$B$3,$B$2,B14,I14,J14,K14,L14,M14,O14,P14,N14,S14,T14,U14,V14,W14,0,C14)),"")</f>
        <v>dsipdevuksadlsst01</v>
      </c>
      <c r="G14" s="3">
        <f xml:space="preserve"> IF(F14="","",  IFERROR(VLOOKUP(E14,Table1[],7,FALSE)-LEN(F14),0))</f>
        <v>6</v>
      </c>
      <c r="H14" s="3" t="b">
        <f>IF(F14="","",IFERROR(matches(F14,VLOOKUP(E14,Table1[],10,FALSE)),FALSE))</f>
        <v>0</v>
      </c>
      <c r="I14" s="3" t="str">
        <f>VLOOKUP(A14,LookupLists!$I$3:$L$60,1,FALSE)</f>
        <v>Development</v>
      </c>
      <c r="J14" s="3" t="str">
        <f>VLOOKUP(A14,LookupLists!$I$3:$L$60,2,FALSE)</f>
        <v>d</v>
      </c>
      <c r="K14" s="3" t="str">
        <f>VLOOKUP(A14,LookupLists!$I$3:$L$60,3,FALSE)</f>
        <v>dev</v>
      </c>
      <c r="L14" s="3">
        <f>VLOOKUP(A14,LookupLists!$I$3:$L$60,4,FALSE)</f>
        <v>1</v>
      </c>
      <c r="M14" s="3" t="str">
        <f>VLOOKUP(D14,LookupLists!$A$3:$G$60,1,FALSE)</f>
        <v>UK South</v>
      </c>
      <c r="N14" s="3" t="str">
        <f>VLOOKUP(D14,LookupLists!$A$3:$G$60,4,FALSE)</f>
        <v>uks</v>
      </c>
      <c r="O14" s="3" t="str">
        <f>VLOOKUP(D14,LookupLists!$A$3:$G$60,2,FALSE)</f>
        <v>uk</v>
      </c>
      <c r="P14" s="3" t="str">
        <f>VLOOKUP(D14,LookupLists!$A$3:$G$60,3,FALSE)</f>
        <v>s</v>
      </c>
      <c r="Q14" s="3">
        <f>VLOOKUP(D14,LookupLists!$A$3:$G$60,5,FALSE)</f>
        <v>96</v>
      </c>
      <c r="R14" s="3">
        <f>VLOOKUP(D14,LookupLists!$A$3:$G$60,6,FALSE)</f>
        <v>4</v>
      </c>
      <c r="S14" s="4" t="str">
        <f>VLOOKUP(D14,LookupLists!$A$3:$G$60,7,FALSE)</f>
        <v>64</v>
      </c>
      <c r="T14" s="3" t="str">
        <f>VLOOKUP(E14,Table1[[Resource Type]:[Validation Expression]],1,FALSE)</f>
        <v>Storage account</v>
      </c>
      <c r="U14" s="3" t="str">
        <f>VLOOKUP(E14,Table1[[Resource Type]:[Validation Expression]],2,FALSE)</f>
        <v>st</v>
      </c>
      <c r="V14" s="3" t="str">
        <f>VLOOKUP(E14,Table1[[Resource Type]:[Validation Expression]],3,FALSE)</f>
        <v>st</v>
      </c>
      <c r="W14" s="3" t="str">
        <f>VLOOKUP(E14,Table1[],5,FALSE)</f>
        <v>x</v>
      </c>
      <c r="X14" s="3" t="s">
        <v>384</v>
      </c>
    </row>
    <row r="15" spans="1:24" x14ac:dyDescent="0.2">
      <c r="A15" s="3" t="s">
        <v>55</v>
      </c>
      <c r="B15" s="3" t="s">
        <v>396</v>
      </c>
      <c r="C15" s="22" t="s">
        <v>387</v>
      </c>
      <c r="D15" s="9" t="s">
        <v>56</v>
      </c>
      <c r="E15" s="3" t="s">
        <v>63</v>
      </c>
      <c r="F15" s="3" t="str">
        <f>IFERROR(IF($B$5="Lower", LOWER(ComputeResourceName(IF(ISBLANK($X15),$B$4,$X15),$B$3,$B$2,B15,I15,J15,K15,L15,M15,O15,P15,N15,S15,T15,U15,V15,W15,0,C15)), ComputeResourceName(IF(ISBLANK($X15),$B$4,$X15),$B$3,$B$2,B15,I15,J15,K15,L15,M15,O15,P15,N15,S15,T15,U15,V15,W15,0,C15)),"")</f>
        <v>dsipdevuksblobst02</v>
      </c>
      <c r="G15" s="3">
        <f xml:space="preserve"> IF(F15="","",  IFERROR(VLOOKUP(E15,Table1[],7,FALSE)-LEN(F15),0))</f>
        <v>6</v>
      </c>
      <c r="H15" s="3" t="b">
        <f>IF(F15="","",IFERROR(matches(F15,VLOOKUP(E15,Table1[],10,FALSE)),FALSE))</f>
        <v>0</v>
      </c>
      <c r="I15" s="3" t="str">
        <f>VLOOKUP(A15,LookupLists!$I$3:$L$60,1,FALSE)</f>
        <v>Development</v>
      </c>
      <c r="J15" s="3" t="str">
        <f>VLOOKUP(A15,LookupLists!$I$3:$L$60,2,FALSE)</f>
        <v>d</v>
      </c>
      <c r="K15" s="3" t="str">
        <f>VLOOKUP(A15,LookupLists!$I$3:$L$60,3,FALSE)</f>
        <v>dev</v>
      </c>
      <c r="L15" s="3">
        <f>VLOOKUP(A15,LookupLists!$I$3:$L$60,4,FALSE)</f>
        <v>1</v>
      </c>
      <c r="M15" s="3" t="str">
        <f>VLOOKUP(D15,LookupLists!$A$3:$G$60,1,FALSE)</f>
        <v>UK South</v>
      </c>
      <c r="N15" s="3" t="str">
        <f>VLOOKUP(D15,LookupLists!$A$3:$G$60,4,FALSE)</f>
        <v>uks</v>
      </c>
      <c r="O15" s="3" t="str">
        <f>VLOOKUP(D15,LookupLists!$A$3:$G$60,2,FALSE)</f>
        <v>uk</v>
      </c>
      <c r="P15" s="3" t="str">
        <f>VLOOKUP(D15,LookupLists!$A$3:$G$60,3,FALSE)</f>
        <v>s</v>
      </c>
      <c r="Q15" s="3">
        <f>VLOOKUP(D15,LookupLists!$A$3:$G$60,5,FALSE)</f>
        <v>96</v>
      </c>
      <c r="R15" s="3">
        <f>VLOOKUP(D15,LookupLists!$A$3:$G$60,6,FALSE)</f>
        <v>4</v>
      </c>
      <c r="S15" s="4" t="str">
        <f>VLOOKUP(D15,LookupLists!$A$3:$G$60,7,FALSE)</f>
        <v>64</v>
      </c>
      <c r="T15" s="3" t="str">
        <f>VLOOKUP(E15,Table1[[Resource Type]:[Validation Expression]],1,FALSE)</f>
        <v>Storage account</v>
      </c>
      <c r="U15" s="3" t="str">
        <f>VLOOKUP(E15,Table1[[Resource Type]:[Validation Expression]],2,FALSE)</f>
        <v>st</v>
      </c>
      <c r="V15" s="3" t="str">
        <f>VLOOKUP(E15,Table1[[Resource Type]:[Validation Expression]],3,FALSE)</f>
        <v>st</v>
      </c>
      <c r="W15" s="3" t="str">
        <f>VLOOKUP(E15,Table1[],5,FALSE)</f>
        <v>x</v>
      </c>
      <c r="X15" s="3" t="s">
        <v>384</v>
      </c>
    </row>
    <row r="17" spans="1:23" s="23" customFormat="1" x14ac:dyDescent="0.2">
      <c r="A17" s="23" t="s">
        <v>55</v>
      </c>
      <c r="B17" s="24" t="s">
        <v>391</v>
      </c>
      <c r="C17" s="24"/>
      <c r="D17" s="25" t="s">
        <v>56</v>
      </c>
      <c r="E17" s="23" t="s">
        <v>57</v>
      </c>
      <c r="F17" s="23" t="str">
        <f>IFERROR(IF($B$5="Lower", LOWER(ComputeResourceName(IF(ISBLANK($X17),$B$4,$X17),$B$3,$B$2,B17,I17,J17,K17,L17,M17,O17,P17,N17,S17,T17,U17,V17,W17,0,C17)), ComputeResourceName(IF(ISBLANK($X17),$B$4,$X17),$B$3,$B$2,B17,I17,J17,K17,L17,M17,O17,P17,N17,S17,T17,U17,V17,W17,0,C17)),"")</f>
        <v>dsip-dev-uks-metadata-rg</v>
      </c>
      <c r="G17" s="23">
        <f xml:space="preserve"> IF(F17="","",  IFERROR(VLOOKUP(E17,Table1[],7,FALSE)-LEN(F17),0))</f>
        <v>40</v>
      </c>
      <c r="H17" s="23" t="b">
        <f>IF(F17="","",IFERROR(matches(F17,VLOOKUP(E17,Table1[],10,FALSE)),FALSE))</f>
        <v>0</v>
      </c>
      <c r="I17" s="23" t="str">
        <f>VLOOKUP(A17,LookupLists!$I$3:$L$60,1,FALSE)</f>
        <v>Development</v>
      </c>
      <c r="J17" s="23" t="str">
        <f>VLOOKUP(A17,LookupLists!$I$3:$L$60,2,FALSE)</f>
        <v>d</v>
      </c>
      <c r="K17" s="23" t="str">
        <f>VLOOKUP(A17,LookupLists!$I$3:$L$60,3,FALSE)</f>
        <v>dev</v>
      </c>
      <c r="L17" s="23">
        <f>VLOOKUP(A17,LookupLists!$I$3:$L$60,4,FALSE)</f>
        <v>1</v>
      </c>
      <c r="M17" s="23" t="str">
        <f>VLOOKUP(D17,LookupLists!$A$3:$G$60,1,FALSE)</f>
        <v>UK South</v>
      </c>
      <c r="N17" s="23" t="str">
        <f>VLOOKUP(D17,LookupLists!$A$3:$G$60,4,FALSE)</f>
        <v>uks</v>
      </c>
      <c r="O17" s="23" t="str">
        <f>VLOOKUP(D17,LookupLists!$A$3:$G$60,2,FALSE)</f>
        <v>uk</v>
      </c>
      <c r="P17" s="23" t="str">
        <f>VLOOKUP(D17,LookupLists!$A$3:$G$60,3,FALSE)</f>
        <v>s</v>
      </c>
      <c r="Q17" s="23">
        <f>VLOOKUP(D17,LookupLists!$A$3:$G$60,5,FALSE)</f>
        <v>96</v>
      </c>
      <c r="R17" s="23">
        <f>VLOOKUP(D17,LookupLists!$A$3:$G$60,6,FALSE)</f>
        <v>4</v>
      </c>
      <c r="S17" s="26" t="str">
        <f>VLOOKUP(D17,LookupLists!$A$3:$G$60,7,FALSE)</f>
        <v>64</v>
      </c>
      <c r="T17" s="23" t="str">
        <f>VLOOKUP(E17,Table1[[Resource Type]:[Validation Expression]],1,FALSE)</f>
        <v>Resource Group</v>
      </c>
      <c r="U17" s="23" t="str">
        <f>VLOOKUP(E17,Table1[[Resource Type]:[Validation Expression]],2,FALSE)</f>
        <v>rg</v>
      </c>
      <c r="V17" s="23" t="str">
        <f>VLOOKUP(E17,Table1[[Resource Type]:[Validation Expression]],3,FALSE)</f>
        <v>rg</v>
      </c>
      <c r="W17" s="23" t="str">
        <f>VLOOKUP(E17,Table1[],5,FALSE)</f>
        <v>x</v>
      </c>
    </row>
    <row r="18" spans="1:23" x14ac:dyDescent="0.2">
      <c r="A18" s="3" t="s">
        <v>55</v>
      </c>
      <c r="C18" s="22" t="s">
        <v>71</v>
      </c>
      <c r="D18" s="9" t="s">
        <v>56</v>
      </c>
      <c r="E18" s="3" t="s">
        <v>75</v>
      </c>
      <c r="F18" s="3" t="str">
        <f>IFERROR(IF($B$5="Lower", LOWER(ComputeResourceName(IF(ISBLANK($X18),$B$4,$X18),$B$3,$B$2,B18,I18,J18,K18,L18,M18,O18,P18,N18,S18,T18,U18,V18,W18,0,C18)), ComputeResourceName(IF(ISBLANK($X18),$B$4,$X18),$B$3,$B$2,B18,I18,J18,K18,L18,M18,O18,P18,N18,S18,T18,U18,V18,W18,0,C18)),"")</f>
        <v>dsip-dev-uks-dbw-01</v>
      </c>
      <c r="G18" s="3">
        <f xml:space="preserve"> IF(F18="","",  IFERROR(VLOOKUP(E18,Table1[],7,FALSE)-LEN(F18),0))</f>
        <v>11</v>
      </c>
      <c r="H18" s="3" t="b">
        <f>IF(F18="","",IFERROR(matches(F18,VLOOKUP(E18,Table1[],10,FALSE)),FALSE))</f>
        <v>0</v>
      </c>
      <c r="I18" s="3" t="str">
        <f>VLOOKUP(A18,LookupLists!$I$3:$L$60,1,FALSE)</f>
        <v>Development</v>
      </c>
      <c r="J18" s="3" t="str">
        <f>VLOOKUP(A18,LookupLists!$I$3:$L$60,2,FALSE)</f>
        <v>d</v>
      </c>
      <c r="K18" s="3" t="str">
        <f>VLOOKUP(A18,LookupLists!$I$3:$L$60,3,FALSE)</f>
        <v>dev</v>
      </c>
      <c r="L18" s="3">
        <f>VLOOKUP(A18,LookupLists!$I$3:$L$60,4,FALSE)</f>
        <v>1</v>
      </c>
      <c r="M18" s="3" t="str">
        <f>VLOOKUP(D18,LookupLists!$A$3:$G$60,1,FALSE)</f>
        <v>UK South</v>
      </c>
      <c r="N18" s="3" t="str">
        <f>VLOOKUP(D18,LookupLists!$A$3:$G$60,4,FALSE)</f>
        <v>uks</v>
      </c>
      <c r="O18" s="3" t="str">
        <f>VLOOKUP(D18,LookupLists!$A$3:$G$60,2,FALSE)</f>
        <v>uk</v>
      </c>
      <c r="P18" s="3" t="str">
        <f>VLOOKUP(D18,LookupLists!$A$3:$G$60,3,FALSE)</f>
        <v>s</v>
      </c>
      <c r="Q18" s="3">
        <f>VLOOKUP(D18,LookupLists!$A$3:$G$60,5,FALSE)</f>
        <v>96</v>
      </c>
      <c r="R18" s="3">
        <f>VLOOKUP(D18,LookupLists!$A$3:$G$60,6,FALSE)</f>
        <v>4</v>
      </c>
      <c r="S18" s="4" t="str">
        <f>VLOOKUP(D18,LookupLists!$A$3:$G$60,7,FALSE)</f>
        <v>64</v>
      </c>
      <c r="T18" s="3" t="str">
        <f>VLOOKUP(E18,Table1[[Resource Type]:[Validation Expression]],1,FALSE)</f>
        <v>Azure Databricks workspace</v>
      </c>
      <c r="U18" s="3" t="str">
        <f>VLOOKUP(E18,Table1[[Resource Type]:[Validation Expression]],2,FALSE)</f>
        <v>dbw</v>
      </c>
      <c r="V18" s="3" t="str">
        <f>VLOOKUP(E18,Table1[[Resource Type]:[Validation Expression]],3,FALSE)</f>
        <v>dbw</v>
      </c>
      <c r="W18" s="3" t="str">
        <f>VLOOKUP(E18,Table1[],5,FALSE)</f>
        <v>x</v>
      </c>
    </row>
    <row r="19" spans="1:23" x14ac:dyDescent="0.2">
      <c r="A19" s="3" t="s">
        <v>55</v>
      </c>
      <c r="C19" s="22" t="s">
        <v>71</v>
      </c>
      <c r="D19" s="9" t="s">
        <v>56</v>
      </c>
      <c r="E19" s="3" t="s">
        <v>61</v>
      </c>
      <c r="F19" s="3" t="str">
        <f>IFERROR(IF($B$5="Lower", LOWER(ComputeResourceName(IF(ISBLANK($X19),$B$4,$X19),$B$3,$B$2,B19,I19,J19,K19,L19,M19,O19,P19,N19,S19,T19,U19,V19,W19,0,C19)), ComputeResourceName(IF(ISBLANK($X19),$B$4,$X19),$B$3,$B$2,B19,I19,J19,K19,L19,M19,O19,P19,N19,S19,T19,U19,V19,W19,0,C19)),"")</f>
        <v>dsip-dev-uks-sqldb-01</v>
      </c>
      <c r="G19" s="3">
        <f xml:space="preserve"> IF(F19="","",  IFERROR(VLOOKUP(E19,Table1[],7,FALSE)-LEN(F19),0))</f>
        <v>107</v>
      </c>
      <c r="H19" s="3" t="b">
        <f>IF(F19="","",IFERROR(matches(F19,VLOOKUP(E19,Table1[],10,FALSE)),FALSE))</f>
        <v>0</v>
      </c>
      <c r="I19" s="3" t="str">
        <f>VLOOKUP(A19,LookupLists!$I$3:$L$60,1,FALSE)</f>
        <v>Development</v>
      </c>
      <c r="J19" s="3" t="str">
        <f>VLOOKUP(A19,LookupLists!$I$3:$L$60,2,FALSE)</f>
        <v>d</v>
      </c>
      <c r="K19" s="3" t="str">
        <f>VLOOKUP(A19,LookupLists!$I$3:$L$60,3,FALSE)</f>
        <v>dev</v>
      </c>
      <c r="L19" s="3">
        <f>VLOOKUP(A19,LookupLists!$I$3:$L$60,4,FALSE)</f>
        <v>1</v>
      </c>
      <c r="M19" s="3" t="str">
        <f>VLOOKUP(D19,LookupLists!$A$3:$G$60,1,FALSE)</f>
        <v>UK South</v>
      </c>
      <c r="N19" s="3" t="str">
        <f>VLOOKUP(D19,LookupLists!$A$3:$G$60,4,FALSE)</f>
        <v>uks</v>
      </c>
      <c r="O19" s="3" t="str">
        <f>VLOOKUP(D19,LookupLists!$A$3:$G$60,2,FALSE)</f>
        <v>uk</v>
      </c>
      <c r="P19" s="3" t="str">
        <f>VLOOKUP(D19,LookupLists!$A$3:$G$60,3,FALSE)</f>
        <v>s</v>
      </c>
      <c r="Q19" s="3">
        <f>VLOOKUP(D19,LookupLists!$A$3:$G$60,5,FALSE)</f>
        <v>96</v>
      </c>
      <c r="R19" s="3">
        <f>VLOOKUP(D19,LookupLists!$A$3:$G$60,6,FALSE)</f>
        <v>4</v>
      </c>
      <c r="S19" s="4" t="str">
        <f>VLOOKUP(D19,LookupLists!$A$3:$G$60,7,FALSE)</f>
        <v>64</v>
      </c>
      <c r="T19" s="3" t="str">
        <f>VLOOKUP(E19,Table1[[Resource Type]:[Validation Expression]],1,FALSE)</f>
        <v>Azure SQL database</v>
      </c>
      <c r="U19" s="3" t="str">
        <f>VLOOKUP(E19,Table1[[Resource Type]:[Validation Expression]],2,FALSE)</f>
        <v>sqldb</v>
      </c>
      <c r="V19" s="3" t="str">
        <f>VLOOKUP(E19,Table1[[Resource Type]:[Validation Expression]],3,FALSE)</f>
        <v>sqldb</v>
      </c>
      <c r="W19" s="3" t="str">
        <f>VLOOKUP(E19,Table1[],5,FALSE)</f>
        <v>x</v>
      </c>
    </row>
    <row r="20" spans="1:23" x14ac:dyDescent="0.2">
      <c r="A20" s="3" t="s">
        <v>55</v>
      </c>
      <c r="C20" s="22" t="s">
        <v>71</v>
      </c>
      <c r="D20" s="9" t="s">
        <v>56</v>
      </c>
      <c r="E20" s="3" t="s">
        <v>256</v>
      </c>
      <c r="F20" s="3" t="str">
        <f>IFERROR(IF($B$5="Lower", LOWER(ComputeResourceName(IF(ISBLANK($X20),$B$4,$X20),$B$3,$B$2,B20,I20,J20,K20,L20,M20,O20,P20,N20,S20,T20,U20,V20,W20,0,C20)), ComputeResourceName(IF(ISBLANK($X20),$B$4,$X20),$B$3,$B$2,B20,I20,J20,K20,L20,M20,O20,P20,N20,S20,T20,U20,V20,W20,0,C20)),"")</f>
        <v>dsip-dev-uks-evgt-01</v>
      </c>
      <c r="G20" s="3">
        <f xml:space="preserve"> IF(F20="","",  IFERROR(VLOOKUP(E20,Table1[],7,FALSE)-LEN(F20),0))</f>
        <v>30</v>
      </c>
      <c r="H20" s="3" t="b">
        <f>IF(F20="","",IFERROR(matches(F20,VLOOKUP(E20,Table1[],10,FALSE)),FALSE))</f>
        <v>0</v>
      </c>
      <c r="I20" s="3" t="str">
        <f>VLOOKUP(A20,LookupLists!$I$3:$L$60,1,FALSE)</f>
        <v>Development</v>
      </c>
      <c r="J20" s="3" t="str">
        <f>VLOOKUP(A20,LookupLists!$I$3:$L$60,2,FALSE)</f>
        <v>d</v>
      </c>
      <c r="K20" s="3" t="str">
        <f>VLOOKUP(A20,LookupLists!$I$3:$L$60,3,FALSE)</f>
        <v>dev</v>
      </c>
      <c r="L20" s="3">
        <f>VLOOKUP(A20,LookupLists!$I$3:$L$60,4,FALSE)</f>
        <v>1</v>
      </c>
      <c r="M20" s="3" t="str">
        <f>VLOOKUP(D20,LookupLists!$A$3:$G$60,1,FALSE)</f>
        <v>UK South</v>
      </c>
      <c r="N20" s="3" t="str">
        <f>VLOOKUP(D20,LookupLists!$A$3:$G$60,4,FALSE)</f>
        <v>uks</v>
      </c>
      <c r="O20" s="3" t="str">
        <f>VLOOKUP(D20,LookupLists!$A$3:$G$60,2,FALSE)</f>
        <v>uk</v>
      </c>
      <c r="P20" s="3" t="str">
        <f>VLOOKUP(D20,LookupLists!$A$3:$G$60,3,FALSE)</f>
        <v>s</v>
      </c>
      <c r="Q20" s="3">
        <f>VLOOKUP(D20,LookupLists!$A$3:$G$60,5,FALSE)</f>
        <v>96</v>
      </c>
      <c r="R20" s="3">
        <f>VLOOKUP(D20,LookupLists!$A$3:$G$60,6,FALSE)</f>
        <v>4</v>
      </c>
      <c r="S20" s="4" t="str">
        <f>VLOOKUP(D20,LookupLists!$A$3:$G$60,7,FALSE)</f>
        <v>64</v>
      </c>
      <c r="T20" s="3" t="str">
        <f>VLOOKUP(E20,Table1[[Resource Type]:[Validation Expression]],1,FALSE)</f>
        <v>Event Grid topic</v>
      </c>
      <c r="U20" s="3" t="str">
        <f>VLOOKUP(E20,Table1[[Resource Type]:[Validation Expression]],2,FALSE)</f>
        <v>evgt</v>
      </c>
      <c r="V20" s="3" t="str">
        <f>VLOOKUP(E20,Table1[[Resource Type]:[Validation Expression]],3,FALSE)</f>
        <v>evgt</v>
      </c>
      <c r="W20" s="3" t="str">
        <f>VLOOKUP(E20,Table1[],5,FALSE)</f>
        <v>x</v>
      </c>
    </row>
    <row r="22" spans="1:23" s="23" customFormat="1" x14ac:dyDescent="0.2">
      <c r="A22" s="23" t="s">
        <v>55</v>
      </c>
      <c r="B22" s="24" t="s">
        <v>394</v>
      </c>
      <c r="C22" s="24"/>
      <c r="D22" s="25" t="s">
        <v>56</v>
      </c>
      <c r="E22" s="23" t="s">
        <v>57</v>
      </c>
      <c r="F22" s="23" t="str">
        <f>IFERROR(IF($B$5="Lower", LOWER(ComputeResourceName(IF(ISBLANK($X22),$B$4,$X22),$B$3,$B$2,B22,I22,J22,K22,L22,M22,O22,P22,N22,S22,T22,U22,V22,W22,0,C22)), ComputeResourceName(IF(ISBLANK($X22),$B$4,$X22),$B$3,$B$2,B22,I22,J22,K22,L22,M22,O22,P22,N22,S22,T22,U22,V22,W22,0,C22)),"")</f>
        <v>dsip-dev-uks-dataapplication-rg</v>
      </c>
      <c r="G22" s="23">
        <f xml:space="preserve"> IF(F22="","",  IFERROR(VLOOKUP(E22,Table1[],7,FALSE)-LEN(F22),0))</f>
        <v>33</v>
      </c>
      <c r="H22" s="23" t="b">
        <f>IF(F22="","",IFERROR(matches(F22,VLOOKUP(E22,Table1[],10,FALSE)),FALSE))</f>
        <v>0</v>
      </c>
      <c r="I22" s="23" t="str">
        <f>VLOOKUP(A22,LookupLists!$I$3:$L$60,1,FALSE)</f>
        <v>Development</v>
      </c>
      <c r="J22" s="23" t="str">
        <f>VLOOKUP(A22,LookupLists!$I$3:$L$60,2,FALSE)</f>
        <v>d</v>
      </c>
      <c r="K22" s="23" t="str">
        <f>VLOOKUP(A22,LookupLists!$I$3:$L$60,3,FALSE)</f>
        <v>dev</v>
      </c>
      <c r="L22" s="23">
        <f>VLOOKUP(A22,LookupLists!$I$3:$L$60,4,FALSE)</f>
        <v>1</v>
      </c>
      <c r="M22" s="23" t="str">
        <f>VLOOKUP(D22,LookupLists!$A$3:$G$60,1,FALSE)</f>
        <v>UK South</v>
      </c>
      <c r="N22" s="23" t="str">
        <f>VLOOKUP(D22,LookupLists!$A$3:$G$60,4,FALSE)</f>
        <v>uks</v>
      </c>
      <c r="O22" s="23" t="str">
        <f>VLOOKUP(D22,LookupLists!$A$3:$G$60,2,FALSE)</f>
        <v>uk</v>
      </c>
      <c r="P22" s="23" t="str">
        <f>VLOOKUP(D22,LookupLists!$A$3:$G$60,3,FALSE)</f>
        <v>s</v>
      </c>
      <c r="Q22" s="23">
        <f>VLOOKUP(D22,LookupLists!$A$3:$G$60,5,FALSE)</f>
        <v>96</v>
      </c>
      <c r="R22" s="23">
        <f>VLOOKUP(D22,LookupLists!$A$3:$G$60,6,FALSE)</f>
        <v>4</v>
      </c>
      <c r="S22" s="26" t="str">
        <f>VLOOKUP(D22,LookupLists!$A$3:$G$60,7,FALSE)</f>
        <v>64</v>
      </c>
      <c r="T22" s="23" t="str">
        <f>VLOOKUP(E22,Table1[[Resource Type]:[Validation Expression]],1,FALSE)</f>
        <v>Resource Group</v>
      </c>
      <c r="U22" s="23" t="str">
        <f>VLOOKUP(E22,Table1[[Resource Type]:[Validation Expression]],2,FALSE)</f>
        <v>rg</v>
      </c>
      <c r="V22" s="23" t="str">
        <f>VLOOKUP(E22,Table1[[Resource Type]:[Validation Expression]],3,FALSE)</f>
        <v>rg</v>
      </c>
      <c r="W22" s="23" t="str">
        <f>VLOOKUP(E22,Table1[],5,FALSE)</f>
        <v>x</v>
      </c>
    </row>
    <row r="23" spans="1:23" x14ac:dyDescent="0.2">
      <c r="A23" s="3" t="s">
        <v>55</v>
      </c>
      <c r="C23" s="22" t="s">
        <v>71</v>
      </c>
      <c r="D23" s="9" t="s">
        <v>56</v>
      </c>
      <c r="E23" s="3" t="s">
        <v>74</v>
      </c>
      <c r="F23" s="3" t="str">
        <f>IFERROR(IF($B$5="Lower", LOWER(ComputeResourceName(IF(ISBLANK($X23),$B$4,$X23),$B$3,$B$2,B23,I23,J23,K23,L23,M23,O23,P23,N23,S23,T23,U23,V23,W23,0,C23)), ComputeResourceName(IF(ISBLANK($X23),$B$4,$X23),$B$3,$B$2,B23,I23,J23,K23,L23,M23,O23,P23,N23,S23,T23,U23,V23,W23,0,C23)),"")</f>
        <v>dsip-dev-uks-syn-01</v>
      </c>
      <c r="G23" s="3">
        <f xml:space="preserve"> IF(F23="","",  IFERROR(VLOOKUP(E23,Table1[],7,FALSE)-LEN(F23),0))</f>
        <v>44</v>
      </c>
      <c r="H23" s="3" t="b">
        <f>IF(F23="","",IFERROR(matches(F23,VLOOKUP(E23,Table1[],10,FALSE)),FALSE))</f>
        <v>0</v>
      </c>
      <c r="I23" s="3" t="str">
        <f>VLOOKUP(A23,LookupLists!$I$3:$L$60,1,FALSE)</f>
        <v>Development</v>
      </c>
      <c r="J23" s="3" t="str">
        <f>VLOOKUP(A23,LookupLists!$I$3:$L$60,2,FALSE)</f>
        <v>d</v>
      </c>
      <c r="K23" s="3" t="str">
        <f>VLOOKUP(A23,LookupLists!$I$3:$L$60,3,FALSE)</f>
        <v>dev</v>
      </c>
      <c r="L23" s="3">
        <f>VLOOKUP(A23,LookupLists!$I$3:$L$60,4,FALSE)</f>
        <v>1</v>
      </c>
      <c r="M23" s="3" t="str">
        <f>VLOOKUP(D23,LookupLists!$A$3:$G$60,1,FALSE)</f>
        <v>UK South</v>
      </c>
      <c r="N23" s="3" t="str">
        <f>VLOOKUP(D23,LookupLists!$A$3:$G$60,4,FALSE)</f>
        <v>uks</v>
      </c>
      <c r="O23" s="3" t="str">
        <f>VLOOKUP(D23,LookupLists!$A$3:$G$60,2,FALSE)</f>
        <v>uk</v>
      </c>
      <c r="P23" s="3" t="str">
        <f>VLOOKUP(D23,LookupLists!$A$3:$G$60,3,FALSE)</f>
        <v>s</v>
      </c>
      <c r="Q23" s="3">
        <f>VLOOKUP(D23,LookupLists!$A$3:$G$60,5,FALSE)</f>
        <v>96</v>
      </c>
      <c r="R23" s="3">
        <f>VLOOKUP(D23,LookupLists!$A$3:$G$60,6,FALSE)</f>
        <v>4</v>
      </c>
      <c r="S23" s="4" t="str">
        <f>VLOOKUP(D23,LookupLists!$A$3:$G$60,7,FALSE)</f>
        <v>64</v>
      </c>
      <c r="T23" s="3" t="str">
        <f>VLOOKUP(E23,Table1[[Resource Type]:[Validation Expression]],1,FALSE)</f>
        <v>Azure Synapse Analytics</v>
      </c>
      <c r="U23" s="3" t="str">
        <f>VLOOKUP(E23,Table1[[Resource Type]:[Validation Expression]],2,FALSE)</f>
        <v>syn</v>
      </c>
      <c r="V23" s="3" t="str">
        <f>VLOOKUP(E23,Table1[[Resource Type]:[Validation Expression]],3,FALSE)</f>
        <v>syn</v>
      </c>
      <c r="W23" s="3">
        <f>VLOOKUP(E23,Table1[],5,FALSE)</f>
        <v>0</v>
      </c>
    </row>
    <row r="24" spans="1:23" x14ac:dyDescent="0.2">
      <c r="A24" s="3" t="s">
        <v>55</v>
      </c>
      <c r="C24" s="22" t="s">
        <v>71</v>
      </c>
      <c r="D24" s="9" t="s">
        <v>56</v>
      </c>
      <c r="E24" s="3" t="s">
        <v>64</v>
      </c>
      <c r="F24" s="3" t="str">
        <f>IFERROR(IF($B$5="Lower", LOWER(ComputeResourceName(IF(ISBLANK($X24),$B$4,$X24),$B$3,$B$2,B24,I24,J24,K24,L24,M24,O24,P24,N24,S24,T24,U24,V24,W24,0,C24)), ComputeResourceName(IF(ISBLANK($X24),$B$4,$X24),$B$3,$B$2,B24,I24,J24,K24,L24,M24,O24,P24,N24,S24,T24,U24,V24,W24,0,C24)),"")</f>
        <v>dsip-dev-uks-kv-01</v>
      </c>
      <c r="G24" s="3">
        <f xml:space="preserve"> IF(F24="","",  IFERROR(VLOOKUP(E24,Table1[],7,FALSE)-LEN(F24),0))</f>
        <v>6</v>
      </c>
      <c r="H24" s="3" t="b">
        <f>IF(F24="","",IFERROR(matches(F24,VLOOKUP(E24,Table1[],10,FALSE)),FALSE))</f>
        <v>0</v>
      </c>
      <c r="I24" s="3" t="str">
        <f>VLOOKUP(A24,LookupLists!$I$3:$L$60,1,FALSE)</f>
        <v>Development</v>
      </c>
      <c r="J24" s="3" t="str">
        <f>VLOOKUP(A24,LookupLists!$I$3:$L$60,2,FALSE)</f>
        <v>d</v>
      </c>
      <c r="K24" s="3" t="str">
        <f>VLOOKUP(A24,LookupLists!$I$3:$L$60,3,FALSE)</f>
        <v>dev</v>
      </c>
      <c r="L24" s="3">
        <f>VLOOKUP(A24,LookupLists!$I$3:$L$60,4,FALSE)</f>
        <v>1</v>
      </c>
      <c r="M24" s="3" t="str">
        <f>VLOOKUP(D24,LookupLists!$A$3:$G$60,1,FALSE)</f>
        <v>UK South</v>
      </c>
      <c r="N24" s="3" t="str">
        <f>VLOOKUP(D24,LookupLists!$A$3:$G$60,4,FALSE)</f>
        <v>uks</v>
      </c>
      <c r="O24" s="3" t="str">
        <f>VLOOKUP(D24,LookupLists!$A$3:$G$60,2,FALSE)</f>
        <v>uk</v>
      </c>
      <c r="P24" s="3" t="str">
        <f>VLOOKUP(D24,LookupLists!$A$3:$G$60,3,FALSE)</f>
        <v>s</v>
      </c>
      <c r="Q24" s="3">
        <f>VLOOKUP(D24,LookupLists!$A$3:$G$60,5,FALSE)</f>
        <v>96</v>
      </c>
      <c r="R24" s="3">
        <f>VLOOKUP(D24,LookupLists!$A$3:$G$60,6,FALSE)</f>
        <v>4</v>
      </c>
      <c r="S24" s="4" t="str">
        <f>VLOOKUP(D24,LookupLists!$A$3:$G$60,7,FALSE)</f>
        <v>64</v>
      </c>
      <c r="T24" s="3" t="str">
        <f>VLOOKUP(E24,Table1[[Resource Type]:[Validation Expression]],1,FALSE)</f>
        <v>Key vault</v>
      </c>
      <c r="U24" s="3" t="str">
        <f>VLOOKUP(E24,Table1[[Resource Type]:[Validation Expression]],2,FALSE)</f>
        <v>kv</v>
      </c>
      <c r="V24" s="3" t="str">
        <f>VLOOKUP(E24,Table1[[Resource Type]:[Validation Expression]],3,FALSE)</f>
        <v>kv</v>
      </c>
      <c r="W24" s="3">
        <f>VLOOKUP(E24,Table1[],5,FALSE)</f>
        <v>0</v>
      </c>
    </row>
    <row r="25" spans="1:23" ht="16" x14ac:dyDescent="0.25"/>
    <row r="26" spans="1:23" s="23" customFormat="1" x14ac:dyDescent="0.2">
      <c r="A26" s="23" t="s">
        <v>55</v>
      </c>
      <c r="B26" s="24" t="s">
        <v>401</v>
      </c>
      <c r="C26" s="24"/>
      <c r="D26" s="25" t="s">
        <v>56</v>
      </c>
      <c r="E26" s="23" t="s">
        <v>57</v>
      </c>
      <c r="F26" s="23" t="str">
        <f>IFERROR(IF($B$5="Lower", LOWER(ComputeResourceName(IF(ISBLANK($X26),$B$4,$X26),$B$3,$B$2,B26,I26,J26,K26,L26,M26,O26,P26,N26,S26,T26,U26,V26,W26,0,C26)), ComputeResourceName(IF(ISBLANK($X26),$B$4,$X26),$B$3,$B$2,B26,I26,J26,K26,L26,M26,O26,P26,N26,S26,T26,U26,V26,W26,0,C26)),"")</f>
        <v>dsip-dev-uks-Ingest-rg</v>
      </c>
      <c r="G26" s="23">
        <f xml:space="preserve"> IF(F26="","",  IFERROR(VLOOKUP(E26,Table1[],7,FALSE)-LEN(F26),0))</f>
        <v>42</v>
      </c>
      <c r="H26" s="23" t="b">
        <f>IF(F26="","",IFERROR(matches(F26,VLOOKUP(E26,Table1[],10,FALSE)),FALSE))</f>
        <v>0</v>
      </c>
      <c r="I26" s="23" t="str">
        <f>VLOOKUP(A26,LookupLists!$I$3:$L$60,1,FALSE)</f>
        <v>Development</v>
      </c>
      <c r="J26" s="23" t="str">
        <f>VLOOKUP(A26,LookupLists!$I$3:$L$60,2,FALSE)</f>
        <v>d</v>
      </c>
      <c r="K26" s="23" t="str">
        <f>VLOOKUP(A26,LookupLists!$I$3:$L$60,3,FALSE)</f>
        <v>dev</v>
      </c>
      <c r="L26" s="23">
        <f>VLOOKUP(A26,LookupLists!$I$3:$L$60,4,FALSE)</f>
        <v>1</v>
      </c>
      <c r="M26" s="23" t="str">
        <f>VLOOKUP(D26,LookupLists!$A$3:$G$60,1,FALSE)</f>
        <v>UK South</v>
      </c>
      <c r="N26" s="23" t="str">
        <f>VLOOKUP(D26,LookupLists!$A$3:$G$60,4,FALSE)</f>
        <v>uks</v>
      </c>
      <c r="O26" s="23" t="str">
        <f>VLOOKUP(D26,LookupLists!$A$3:$G$60,2,FALSE)</f>
        <v>uk</v>
      </c>
      <c r="P26" s="23" t="str">
        <f>VLOOKUP(D26,LookupLists!$A$3:$G$60,3,FALSE)</f>
        <v>s</v>
      </c>
      <c r="Q26" s="23">
        <f>VLOOKUP(D26,LookupLists!$A$3:$G$60,5,FALSE)</f>
        <v>96</v>
      </c>
      <c r="R26" s="23">
        <f>VLOOKUP(D26,LookupLists!$A$3:$G$60,6,FALSE)</f>
        <v>4</v>
      </c>
      <c r="S26" s="26" t="str">
        <f>VLOOKUP(D26,LookupLists!$A$3:$G$60,7,FALSE)</f>
        <v>64</v>
      </c>
      <c r="T26" s="23" t="str">
        <f>VLOOKUP(E26,Table1[[Resource Type]:[Validation Expression]],1,FALSE)</f>
        <v>Resource Group</v>
      </c>
      <c r="U26" s="23" t="str">
        <f>VLOOKUP(E26,Table1[[Resource Type]:[Validation Expression]],2,FALSE)</f>
        <v>rg</v>
      </c>
      <c r="V26" s="23" t="str">
        <f>VLOOKUP(E26,Table1[[Resource Type]:[Validation Expression]],3,FALSE)</f>
        <v>rg</v>
      </c>
      <c r="W26" s="23" t="str">
        <f>VLOOKUP(E26,Table1[],5,FALSE)</f>
        <v>x</v>
      </c>
    </row>
    <row r="27" spans="1:23" x14ac:dyDescent="0.2">
      <c r="A27" s="3" t="s">
        <v>55</v>
      </c>
      <c r="C27" s="22" t="s">
        <v>71</v>
      </c>
      <c r="D27" s="9" t="s">
        <v>56</v>
      </c>
      <c r="E27" s="3" t="s">
        <v>72</v>
      </c>
      <c r="F27" s="3" t="str">
        <f>IFERROR(IF($B$5="Lower", LOWER(ComputeResourceName(IF(ISBLANK($X27),$B$4,$X27),$B$3,$B$2,B27,I27,J27,K27,L27,M27,O27,P27,N27,S27,T27,U27,V27,W27,0,C27)), ComputeResourceName(IF(ISBLANK($X27),$B$4,$X27),$B$3,$B$2,B27,I27,J27,K27,L27,M27,O27,P27,N27,S27,T27,U27,V27,W27,0,C27)),"")</f>
        <v>dsip-dev-uks-adf-01</v>
      </c>
      <c r="G27" s="3">
        <f xml:space="preserve"> IF(F27="","",  IFERROR(VLOOKUP(E27,Table1[],7,FALSE)-LEN(F27),0))</f>
        <v>44</v>
      </c>
      <c r="H27" s="3" t="b">
        <f>IF(F27="","",IFERROR(matches(F27,VLOOKUP(E27,Table1[],10,FALSE)),FALSE))</f>
        <v>0</v>
      </c>
      <c r="I27" s="3" t="str">
        <f>VLOOKUP(A27,LookupLists!$I$3:$L$60,1,FALSE)</f>
        <v>Development</v>
      </c>
      <c r="J27" s="3" t="str">
        <f>VLOOKUP(A27,LookupLists!$I$3:$L$60,2,FALSE)</f>
        <v>d</v>
      </c>
      <c r="K27" s="3" t="str">
        <f>VLOOKUP(A27,LookupLists!$I$3:$L$60,3,FALSE)</f>
        <v>dev</v>
      </c>
      <c r="L27" s="3">
        <f>VLOOKUP(A27,LookupLists!$I$3:$L$60,4,FALSE)</f>
        <v>1</v>
      </c>
      <c r="M27" s="3" t="str">
        <f>VLOOKUP(D27,LookupLists!$A$3:$G$60,1,FALSE)</f>
        <v>UK South</v>
      </c>
      <c r="N27" s="3" t="str">
        <f>VLOOKUP(D27,LookupLists!$A$3:$G$60,4,FALSE)</f>
        <v>uks</v>
      </c>
      <c r="O27" s="3" t="str">
        <f>VLOOKUP(D27,LookupLists!$A$3:$G$60,2,FALSE)</f>
        <v>uk</v>
      </c>
      <c r="P27" s="3" t="str">
        <f>VLOOKUP(D27,LookupLists!$A$3:$G$60,3,FALSE)</f>
        <v>s</v>
      </c>
      <c r="Q27" s="3">
        <f>VLOOKUP(D27,LookupLists!$A$3:$G$60,5,FALSE)</f>
        <v>96</v>
      </c>
      <c r="R27" s="3">
        <f>VLOOKUP(D27,LookupLists!$A$3:$G$60,6,FALSE)</f>
        <v>4</v>
      </c>
      <c r="S27" s="4" t="str">
        <f>VLOOKUP(D27,LookupLists!$A$3:$G$60,7,FALSE)</f>
        <v>64</v>
      </c>
      <c r="T27" s="3" t="str">
        <f>VLOOKUP(E27,Table1[[Resource Type]:[Validation Expression]],1,FALSE)</f>
        <v>Azure Data Factory</v>
      </c>
      <c r="U27" s="3" t="str">
        <f>VLOOKUP(E27,Table1[[Resource Type]:[Validation Expression]],2,FALSE)</f>
        <v>adf</v>
      </c>
      <c r="V27" s="3" t="str">
        <f>VLOOKUP(E27,Table1[[Resource Type]:[Validation Expression]],3,FALSE)</f>
        <v>adf</v>
      </c>
      <c r="W27" s="3" t="str">
        <f>VLOOKUP(E27,Table1[],5,FALSE)</f>
        <v>x</v>
      </c>
    </row>
    <row r="28" spans="1:23" x14ac:dyDescent="0.2">
      <c r="A28" s="3" t="s">
        <v>55</v>
      </c>
      <c r="C28" s="22" t="s">
        <v>71</v>
      </c>
      <c r="D28" s="9" t="s">
        <v>56</v>
      </c>
      <c r="E28" s="3" t="s">
        <v>402</v>
      </c>
      <c r="F28" s="3" t="str">
        <f>IFERROR(IF($B$5="Lower", LOWER(ComputeResourceName(IF(ISBLANK($X28),$B$4,$X28),$B$3,$B$2,B28,I28,J28,K28,L28,M28,O28,P28,N28,S28,T28,U28,V28,W28,0,C28)), ComputeResourceName(IF(ISBLANK($X28),$B$4,$X28),$B$3,$B$2,B28,I28,J28,K28,L28,M28,O28,P28,N28,S28,T28,U28,V28,W28,0,C28)),"")</f>
        <v>dsip-dev-uks-logic-01</v>
      </c>
      <c r="G28" s="3">
        <f xml:space="preserve"> IF(F28="","",  IFERROR(VLOOKUP(E28,Table1[],7,FALSE)-LEN(F28),0))</f>
        <v>59</v>
      </c>
      <c r="H28" s="3" t="b">
        <f>IF(F28="","",IFERROR(matches(F28,VLOOKUP(E28,Table1[],10,FALSE)),FALSE))</f>
        <v>0</v>
      </c>
      <c r="I28" s="3" t="str">
        <f>VLOOKUP(A28,LookupLists!$I$3:$L$60,1,FALSE)</f>
        <v>Development</v>
      </c>
      <c r="J28" s="3" t="str">
        <f>VLOOKUP(A28,LookupLists!$I$3:$L$60,2,FALSE)</f>
        <v>d</v>
      </c>
      <c r="K28" s="3" t="str">
        <f>VLOOKUP(A28,LookupLists!$I$3:$L$60,3,FALSE)</f>
        <v>dev</v>
      </c>
      <c r="L28" s="3">
        <f>VLOOKUP(A28,LookupLists!$I$3:$L$60,4,FALSE)</f>
        <v>1</v>
      </c>
      <c r="M28" s="3" t="str">
        <f>VLOOKUP(D28,LookupLists!$A$3:$G$60,1,FALSE)</f>
        <v>UK South</v>
      </c>
      <c r="N28" s="3" t="str">
        <f>VLOOKUP(D28,LookupLists!$A$3:$G$60,4,FALSE)</f>
        <v>uks</v>
      </c>
      <c r="O28" s="3" t="str">
        <f>VLOOKUP(D28,LookupLists!$A$3:$G$60,2,FALSE)</f>
        <v>uk</v>
      </c>
      <c r="P28" s="3" t="str">
        <f>VLOOKUP(D28,LookupLists!$A$3:$G$60,3,FALSE)</f>
        <v>s</v>
      </c>
      <c r="Q28" s="3">
        <f>VLOOKUP(D28,LookupLists!$A$3:$G$60,5,FALSE)</f>
        <v>96</v>
      </c>
      <c r="R28" s="3">
        <f>VLOOKUP(D28,LookupLists!$A$3:$G$60,6,FALSE)</f>
        <v>4</v>
      </c>
      <c r="S28" s="4" t="str">
        <f>VLOOKUP(D28,LookupLists!$A$3:$G$60,7,FALSE)</f>
        <v>64</v>
      </c>
      <c r="T28" s="3" t="str">
        <f>VLOOKUP(E28,Table1[[Resource Type]:[Validation Expression]],1,FALSE)</f>
        <v>Logic apps</v>
      </c>
      <c r="U28" s="3" t="str">
        <f>VLOOKUP(E28,Table1[[Resource Type]:[Validation Expression]],2,FALSE)</f>
        <v>logic</v>
      </c>
      <c r="V28" s="3" t="str">
        <f>VLOOKUP(E28,Table1[[Resource Type]:[Validation Expression]],3,FALSE)</f>
        <v>logic</v>
      </c>
      <c r="W28" s="3">
        <f>VLOOKUP(E28,Table1[],5,FALSE)</f>
        <v>0</v>
      </c>
    </row>
    <row r="29" spans="1:23" x14ac:dyDescent="0.2">
      <c r="A29" s="3" t="s">
        <v>55</v>
      </c>
      <c r="B29" s="3" t="s">
        <v>226</v>
      </c>
      <c r="C29" s="22" t="s">
        <v>71</v>
      </c>
      <c r="D29" s="9" t="s">
        <v>56</v>
      </c>
      <c r="E29" s="3" t="s">
        <v>403</v>
      </c>
      <c r="F29" s="3" t="str">
        <f>IFERROR(IF($B$5="Lower", LOWER(ComputeResourceName(IF(ISBLANK($X29),$B$4,$X29),$B$3,$B$2,B29,I29,J29,K29,L29,M29,O29,P29,N29,S29,T29,U29,V29,W29,0,C29)), ComputeResourceName(IF(ISBLANK($X29),$B$4,$X29),$B$3,$B$2,B29,I29,J29,K29,L29,M29,O29,P29,N29,S29,T29,U29,V29,W29,0,C29)),"")</f>
        <v>dsip-dev-uks-sql-api-01</v>
      </c>
      <c r="G29" s="3">
        <f xml:space="preserve"> IF(F29="","",  IFERROR(VLOOKUP(E29,Table1[],7,FALSE)-LEN(F29),0))</f>
        <v>37</v>
      </c>
      <c r="H29" s="3" t="b">
        <f>IF(F29="","",IFERROR(matches(F29,VLOOKUP(E29,Table1[],10,FALSE)),FALSE))</f>
        <v>0</v>
      </c>
      <c r="I29" s="3" t="str">
        <f>VLOOKUP(A29,LookupLists!$I$3:$L$60,1,FALSE)</f>
        <v>Development</v>
      </c>
      <c r="J29" s="3" t="str">
        <f>VLOOKUP(A29,LookupLists!$I$3:$L$60,2,FALSE)</f>
        <v>d</v>
      </c>
      <c r="K29" s="3" t="str">
        <f>VLOOKUP(A29,LookupLists!$I$3:$L$60,3,FALSE)</f>
        <v>dev</v>
      </c>
      <c r="L29" s="3">
        <f>VLOOKUP(A29,LookupLists!$I$3:$L$60,4,FALSE)</f>
        <v>1</v>
      </c>
      <c r="M29" s="3" t="str">
        <f>VLOOKUP(D29,LookupLists!$A$3:$G$60,1,FALSE)</f>
        <v>UK South</v>
      </c>
      <c r="N29" s="3" t="str">
        <f>VLOOKUP(D29,LookupLists!$A$3:$G$60,4,FALSE)</f>
        <v>uks</v>
      </c>
      <c r="O29" s="3" t="str">
        <f>VLOOKUP(D29,LookupLists!$A$3:$G$60,2,FALSE)</f>
        <v>uk</v>
      </c>
      <c r="P29" s="3" t="str">
        <f>VLOOKUP(D29,LookupLists!$A$3:$G$60,3,FALSE)</f>
        <v>s</v>
      </c>
      <c r="Q29" s="3">
        <f>VLOOKUP(D29,LookupLists!$A$3:$G$60,5,FALSE)</f>
        <v>96</v>
      </c>
      <c r="R29" s="3">
        <f>VLOOKUP(D29,LookupLists!$A$3:$G$60,6,FALSE)</f>
        <v>4</v>
      </c>
      <c r="S29" s="4" t="str">
        <f>VLOOKUP(D29,LookupLists!$A$3:$G$60,7,FALSE)</f>
        <v>64</v>
      </c>
      <c r="T29" s="3" t="str">
        <f>VLOOKUP(E29,Table1[[Resource Type]:[Validation Expression]],1,FALSE)</f>
        <v>Api App</v>
      </c>
      <c r="U29" s="3" t="str">
        <f>VLOOKUP(E29,Table1[[Resource Type]:[Validation Expression]],2,FALSE)</f>
        <v>api</v>
      </c>
      <c r="V29" s="3" t="str">
        <f>VLOOKUP(E29,Table1[[Resource Type]:[Validation Expression]],3,FALSE)</f>
        <v>apiapp</v>
      </c>
      <c r="W29" s="3">
        <f>VLOOKUP(E29,Table1[],5,FALSE)</f>
        <v>0</v>
      </c>
    </row>
    <row r="30" spans="1:23" ht="16" x14ac:dyDescent="0.25"/>
    <row r="31" spans="1:23" s="23" customFormat="1" x14ac:dyDescent="0.2">
      <c r="A31" s="23" t="s">
        <v>55</v>
      </c>
      <c r="B31" s="24" t="s">
        <v>390</v>
      </c>
      <c r="C31" s="24"/>
      <c r="D31" s="25" t="s">
        <v>56</v>
      </c>
      <c r="E31" s="23" t="s">
        <v>57</v>
      </c>
      <c r="F31" s="23" t="str">
        <f>IFERROR(IF($B$5="Lower", LOWER(ComputeResourceName(IF(ISBLANK($X31),$B$4,$X31),$B$3,$B$2,B31,I31,J31,K31,L31,M31,O31,P31,N31,S31,T31,U31,V31,W31,0,C31)), ComputeResourceName(IF(ISBLANK($X31),$B$4,$X31),$B$3,$B$2,B31,I31,J31,K31,L31,M31,O31,P31,N31,S31,T31,U31,V31,W31,0,C31)),"")</f>
        <v>dsip-dev-uks-runtimes-rg</v>
      </c>
      <c r="G31" s="23">
        <f xml:space="preserve"> IF(F31="","",  IFERROR(VLOOKUP(E31,Table1[],7,FALSE)-LEN(F31),0))</f>
        <v>40</v>
      </c>
      <c r="H31" s="23" t="b">
        <f>IF(F31="","",IFERROR(matches(F31,VLOOKUP(E31,Table1[],10,FALSE)),FALSE))</f>
        <v>0</v>
      </c>
      <c r="I31" s="23" t="str">
        <f>VLOOKUP(A31,LookupLists!$I$3:$L$60,1,FALSE)</f>
        <v>Development</v>
      </c>
      <c r="J31" s="23" t="str">
        <f>VLOOKUP(A31,LookupLists!$I$3:$L$60,2,FALSE)</f>
        <v>d</v>
      </c>
      <c r="K31" s="23" t="str">
        <f>VLOOKUP(A31,LookupLists!$I$3:$L$60,3,FALSE)</f>
        <v>dev</v>
      </c>
      <c r="L31" s="23">
        <f>VLOOKUP(A31,LookupLists!$I$3:$L$60,4,FALSE)</f>
        <v>1</v>
      </c>
      <c r="M31" s="23" t="str">
        <f>VLOOKUP(D31,LookupLists!$A$3:$G$60,1,FALSE)</f>
        <v>UK South</v>
      </c>
      <c r="N31" s="23" t="str">
        <f>VLOOKUP(D31,LookupLists!$A$3:$G$60,4,FALSE)</f>
        <v>uks</v>
      </c>
      <c r="O31" s="23" t="str">
        <f>VLOOKUP(D31,LookupLists!$A$3:$G$60,2,FALSE)</f>
        <v>uk</v>
      </c>
      <c r="P31" s="23" t="str">
        <f>VLOOKUP(D31,LookupLists!$A$3:$G$60,3,FALSE)</f>
        <v>s</v>
      </c>
      <c r="Q31" s="23">
        <f>VLOOKUP(D31,LookupLists!$A$3:$G$60,5,FALSE)</f>
        <v>96</v>
      </c>
      <c r="R31" s="23">
        <f>VLOOKUP(D31,LookupLists!$A$3:$G$60,6,FALSE)</f>
        <v>4</v>
      </c>
      <c r="S31" s="26" t="str">
        <f>VLOOKUP(D31,LookupLists!$A$3:$G$60,7,FALSE)</f>
        <v>64</v>
      </c>
      <c r="T31" s="23" t="str">
        <f>VLOOKUP(E31,Table1[[Resource Type]:[Validation Expression]],1,FALSE)</f>
        <v>Resource Group</v>
      </c>
      <c r="U31" s="23" t="str">
        <f>VLOOKUP(E31,Table1[[Resource Type]:[Validation Expression]],2,FALSE)</f>
        <v>rg</v>
      </c>
      <c r="V31" s="23" t="str">
        <f>VLOOKUP(E31,Table1[[Resource Type]:[Validation Expression]],3,FALSE)</f>
        <v>rg</v>
      </c>
      <c r="W31" s="23" t="str">
        <f>VLOOKUP(E31,Table1[],5,FALSE)</f>
        <v>x</v>
      </c>
    </row>
    <row r="33" spans="1:23" s="23" customFormat="1" x14ac:dyDescent="0.2">
      <c r="A33" s="23" t="s">
        <v>55</v>
      </c>
      <c r="B33" s="24" t="s">
        <v>397</v>
      </c>
      <c r="C33" s="24"/>
      <c r="D33" s="25" t="s">
        <v>56</v>
      </c>
      <c r="E33" s="23" t="s">
        <v>57</v>
      </c>
      <c r="F33" s="23" t="str">
        <f>IFERROR(IF($B$5="Lower", LOWER(ComputeResourceName(IF(ISBLANK($X33),$B$4,$X33),$B$3,$B$2,B33,I33,J33,K33,L33,M33,O33,P33,N33,S33,T33,U33,V33,W33,0,C33)), ComputeResourceName(IF(ISBLANK($X33),$B$4,$X33),$B$3,$B$2,B33,I33,J33,K33,L33,M33,O33,P33,N33,S33,T33,U33,V33,W33,0,C33)),"")</f>
        <v>dsip-dev-uks-mgmt-rg</v>
      </c>
      <c r="G33" s="23">
        <f xml:space="preserve"> IF(F33="","",  IFERROR(VLOOKUP(E33,Table1[],7,FALSE)-LEN(F33),0))</f>
        <v>44</v>
      </c>
      <c r="H33" s="23" t="b">
        <f>IF(F33="","",IFERROR(matches(F33,VLOOKUP(E33,Table1[],10,FALSE)),FALSE))</f>
        <v>0</v>
      </c>
      <c r="I33" s="23" t="str">
        <f>VLOOKUP(A33,LookupLists!$I$3:$L$60,1,FALSE)</f>
        <v>Development</v>
      </c>
      <c r="J33" s="23" t="str">
        <f>VLOOKUP(A33,LookupLists!$I$3:$L$60,2,FALSE)</f>
        <v>d</v>
      </c>
      <c r="K33" s="23" t="str">
        <f>VLOOKUP(A33,LookupLists!$I$3:$L$60,3,FALSE)</f>
        <v>dev</v>
      </c>
      <c r="L33" s="23">
        <f>VLOOKUP(A33,LookupLists!$I$3:$L$60,4,FALSE)</f>
        <v>1</v>
      </c>
      <c r="M33" s="23" t="str">
        <f>VLOOKUP(D33,LookupLists!$A$3:$G$60,1,FALSE)</f>
        <v>UK South</v>
      </c>
      <c r="N33" s="23" t="str">
        <f>VLOOKUP(D33,LookupLists!$A$3:$G$60,4,FALSE)</f>
        <v>uks</v>
      </c>
      <c r="O33" s="23" t="str">
        <f>VLOOKUP(D33,LookupLists!$A$3:$G$60,2,FALSE)</f>
        <v>uk</v>
      </c>
      <c r="P33" s="23" t="str">
        <f>VLOOKUP(D33,LookupLists!$A$3:$G$60,3,FALSE)</f>
        <v>s</v>
      </c>
      <c r="Q33" s="23">
        <f>VLOOKUP(D33,LookupLists!$A$3:$G$60,5,FALSE)</f>
        <v>96</v>
      </c>
      <c r="R33" s="23">
        <f>VLOOKUP(D33,LookupLists!$A$3:$G$60,6,FALSE)</f>
        <v>4</v>
      </c>
      <c r="S33" s="26" t="str">
        <f>VLOOKUP(D33,LookupLists!$A$3:$G$60,7,FALSE)</f>
        <v>64</v>
      </c>
      <c r="T33" s="23" t="str">
        <f>VLOOKUP(E33,Table1[[Resource Type]:[Validation Expression]],1,FALSE)</f>
        <v>Resource Group</v>
      </c>
      <c r="U33" s="23" t="str">
        <f>VLOOKUP(E33,Table1[[Resource Type]:[Validation Expression]],2,FALSE)</f>
        <v>rg</v>
      </c>
      <c r="V33" s="23" t="str">
        <f>VLOOKUP(E33,Table1[[Resource Type]:[Validation Expression]],3,FALSE)</f>
        <v>rg</v>
      </c>
      <c r="W33" s="23" t="str">
        <f>VLOOKUP(E33,Table1[],5,FALSE)</f>
        <v>x</v>
      </c>
    </row>
    <row r="35" spans="1:23" s="23" customFormat="1" x14ac:dyDescent="0.2">
      <c r="A35" s="23" t="s">
        <v>55</v>
      </c>
      <c r="B35" s="24" t="s">
        <v>398</v>
      </c>
      <c r="C35" s="24"/>
      <c r="D35" s="25" t="s">
        <v>56</v>
      </c>
      <c r="E35" s="23" t="s">
        <v>57</v>
      </c>
      <c r="F35" s="23" t="str">
        <f>IFERROR(IF($B$5="Lower", LOWER(ComputeResourceName(IF(ISBLANK($X35),$B$4,$X35),$B$3,$B$2,B35,I35,J35,K35,L35,M35,O35,P35,N35,S35,T35,U35,V35,W35,0,C35)), ComputeResourceName(IF(ISBLANK($X35),$B$4,$X35),$B$3,$B$2,B35,I35,J35,K35,L35,M35,O35,P35,N35,S35,T35,U35,V35,W35,0,C35)),"")</f>
        <v>dsip-dev-uks-sharedsynapse-rg</v>
      </c>
      <c r="G35" s="23">
        <f xml:space="preserve"> IF(F35="","",  IFERROR(VLOOKUP(E35,Table1[],7,FALSE)-LEN(F35),0))</f>
        <v>35</v>
      </c>
      <c r="H35" s="23" t="b">
        <f>IF(F35="","",IFERROR(matches(F35,VLOOKUP(E35,Table1[],10,FALSE)),FALSE))</f>
        <v>0</v>
      </c>
      <c r="I35" s="23" t="str">
        <f>VLOOKUP(A35,LookupLists!$I$3:$L$60,1,FALSE)</f>
        <v>Development</v>
      </c>
      <c r="J35" s="23" t="str">
        <f>VLOOKUP(A35,LookupLists!$I$3:$L$60,2,FALSE)</f>
        <v>d</v>
      </c>
      <c r="K35" s="23" t="str">
        <f>VLOOKUP(A35,LookupLists!$I$3:$L$60,3,FALSE)</f>
        <v>dev</v>
      </c>
      <c r="L35" s="23">
        <f>VLOOKUP(A35,LookupLists!$I$3:$L$60,4,FALSE)</f>
        <v>1</v>
      </c>
      <c r="M35" s="23" t="str">
        <f>VLOOKUP(D35,LookupLists!$A$3:$G$60,1,FALSE)</f>
        <v>UK South</v>
      </c>
      <c r="N35" s="23" t="str">
        <f>VLOOKUP(D35,LookupLists!$A$3:$G$60,4,FALSE)</f>
        <v>uks</v>
      </c>
      <c r="O35" s="23" t="str">
        <f>VLOOKUP(D35,LookupLists!$A$3:$G$60,2,FALSE)</f>
        <v>uk</v>
      </c>
      <c r="P35" s="23" t="str">
        <f>VLOOKUP(D35,LookupLists!$A$3:$G$60,3,FALSE)</f>
        <v>s</v>
      </c>
      <c r="Q35" s="23">
        <f>VLOOKUP(D35,LookupLists!$A$3:$G$60,5,FALSE)</f>
        <v>96</v>
      </c>
      <c r="R35" s="23">
        <f>VLOOKUP(D35,LookupLists!$A$3:$G$60,6,FALSE)</f>
        <v>4</v>
      </c>
      <c r="S35" s="26" t="str">
        <f>VLOOKUP(D35,LookupLists!$A$3:$G$60,7,FALSE)</f>
        <v>64</v>
      </c>
      <c r="T35" s="23" t="str">
        <f>VLOOKUP(E35,Table1[[Resource Type]:[Validation Expression]],1,FALSE)</f>
        <v>Resource Group</v>
      </c>
      <c r="U35" s="23" t="str">
        <f>VLOOKUP(E35,Table1[[Resource Type]:[Validation Expression]],2,FALSE)</f>
        <v>rg</v>
      </c>
      <c r="V35" s="23" t="str">
        <f>VLOOKUP(E35,Table1[[Resource Type]:[Validation Expression]],3,FALSE)</f>
        <v>rg</v>
      </c>
      <c r="W35" s="23" t="str">
        <f>VLOOKUP(E35,Table1[],5,FALSE)</f>
        <v>x</v>
      </c>
    </row>
    <row r="37" spans="1:23" s="23" customFormat="1" x14ac:dyDescent="0.2">
      <c r="A37" s="23" t="s">
        <v>55</v>
      </c>
      <c r="B37" s="24" t="s">
        <v>399</v>
      </c>
      <c r="C37" s="24"/>
      <c r="D37" s="25" t="s">
        <v>56</v>
      </c>
      <c r="E37" s="23" t="s">
        <v>57</v>
      </c>
      <c r="F37" s="23" t="str">
        <f>IFERROR(IF($B$5="Lower", LOWER(ComputeResourceName(IF(ISBLANK($X37),$B$4,$X37),$B$3,$B$2,B37,I37,J37,K37,L37,M37,O37,P37,N37,S37,T37,U37,V37,W37,0,C37)), ComputeResourceName(IF(ISBLANK($X37),$B$4,$X37),$B$3,$B$2,B37,I37,J37,K37,L37,M37,O37,P37,N37,S37,T37,U37,V37,W37,0,C37)),"")</f>
        <v>dsip-dev-uks-shareddatabricks-rg</v>
      </c>
      <c r="G37" s="23">
        <f xml:space="preserve"> IF(F37="","",  IFERROR(VLOOKUP(E37,Table1[],7,FALSE)-LEN(F37),0))</f>
        <v>32</v>
      </c>
      <c r="H37" s="23" t="b">
        <f>IF(F37="","",IFERROR(matches(F37,VLOOKUP(E37,Table1[],10,FALSE)),FALSE))</f>
        <v>0</v>
      </c>
      <c r="I37" s="23" t="str">
        <f>VLOOKUP(A37,LookupLists!$I$3:$L$60,1,FALSE)</f>
        <v>Development</v>
      </c>
      <c r="J37" s="23" t="str">
        <f>VLOOKUP(A37,LookupLists!$I$3:$L$60,2,FALSE)</f>
        <v>d</v>
      </c>
      <c r="K37" s="23" t="str">
        <f>VLOOKUP(A37,LookupLists!$I$3:$L$60,3,FALSE)</f>
        <v>dev</v>
      </c>
      <c r="L37" s="23">
        <f>VLOOKUP(A37,LookupLists!$I$3:$L$60,4,FALSE)</f>
        <v>1</v>
      </c>
      <c r="M37" s="23" t="str">
        <f>VLOOKUP(D37,LookupLists!$A$3:$G$60,1,FALSE)</f>
        <v>UK South</v>
      </c>
      <c r="N37" s="23" t="str">
        <f>VLOOKUP(D37,LookupLists!$A$3:$G$60,4,FALSE)</f>
        <v>uks</v>
      </c>
      <c r="O37" s="23" t="str">
        <f>VLOOKUP(D37,LookupLists!$A$3:$G$60,2,FALSE)</f>
        <v>uk</v>
      </c>
      <c r="P37" s="23" t="str">
        <f>VLOOKUP(D37,LookupLists!$A$3:$G$60,3,FALSE)</f>
        <v>s</v>
      </c>
      <c r="Q37" s="23">
        <f>VLOOKUP(D37,LookupLists!$A$3:$G$60,5,FALSE)</f>
        <v>96</v>
      </c>
      <c r="R37" s="23">
        <f>VLOOKUP(D37,LookupLists!$A$3:$G$60,6,FALSE)</f>
        <v>4</v>
      </c>
      <c r="S37" s="26" t="str">
        <f>VLOOKUP(D37,LookupLists!$A$3:$G$60,7,FALSE)</f>
        <v>64</v>
      </c>
      <c r="T37" s="23" t="str">
        <f>VLOOKUP(E37,Table1[[Resource Type]:[Validation Expression]],1,FALSE)</f>
        <v>Resource Group</v>
      </c>
      <c r="U37" s="23" t="str">
        <f>VLOOKUP(E37,Table1[[Resource Type]:[Validation Expression]],2,FALSE)</f>
        <v>rg</v>
      </c>
      <c r="V37" s="23" t="str">
        <f>VLOOKUP(E37,Table1[[Resource Type]:[Validation Expression]],3,FALSE)</f>
        <v>rg</v>
      </c>
      <c r="W37" s="23" t="str">
        <f>VLOOKUP(E37,Table1[],5,FALSE)</f>
        <v>x</v>
      </c>
    </row>
    <row r="39" spans="1:23" s="23" customFormat="1" x14ac:dyDescent="0.2">
      <c r="A39" s="23" t="s">
        <v>55</v>
      </c>
      <c r="B39" s="24" t="s">
        <v>400</v>
      </c>
      <c r="C39" s="24"/>
      <c r="D39" s="25" t="s">
        <v>56</v>
      </c>
      <c r="E39" s="23" t="s">
        <v>57</v>
      </c>
      <c r="F39" s="23" t="str">
        <f>IFERROR(IF($B$5="Lower", LOWER(ComputeResourceName(IF(ISBLANK($X39),$B$4,$X39),$B$3,$B$2,B39,I39,J39,K39,L39,M39,O39,P39,N39,S39,T39,U39,V39,W39,0,C39)), ComputeResourceName(IF(ISBLANK($X39),$B$4,$X39),$B$3,$B$2,B39,I39,J39,K39,L39,M39,O39,P39,N39,S39,T39,U39,V39,W39,0,C39)),"")</f>
        <v>dsip-dev-uks-externaldata-rg</v>
      </c>
      <c r="G39" s="23">
        <f xml:space="preserve"> IF(F39="","",  IFERROR(VLOOKUP(E39,Table1[],7,FALSE)-LEN(F39),0))</f>
        <v>36</v>
      </c>
      <c r="H39" s="23" t="b">
        <f>IF(F39="","",IFERROR(matches(F39,VLOOKUP(E39,Table1[],10,FALSE)),FALSE))</f>
        <v>0</v>
      </c>
      <c r="I39" s="23" t="str">
        <f>VLOOKUP(A39,LookupLists!$I$3:$L$60,1,FALSE)</f>
        <v>Development</v>
      </c>
      <c r="J39" s="23" t="str">
        <f>VLOOKUP(A39,LookupLists!$I$3:$L$60,2,FALSE)</f>
        <v>d</v>
      </c>
      <c r="K39" s="23" t="str">
        <f>VLOOKUP(A39,LookupLists!$I$3:$L$60,3,FALSE)</f>
        <v>dev</v>
      </c>
      <c r="L39" s="23">
        <f>VLOOKUP(A39,LookupLists!$I$3:$L$60,4,FALSE)</f>
        <v>1</v>
      </c>
      <c r="M39" s="23" t="str">
        <f>VLOOKUP(D39,LookupLists!$A$3:$G$60,1,FALSE)</f>
        <v>UK South</v>
      </c>
      <c r="N39" s="23" t="str">
        <f>VLOOKUP(D39,LookupLists!$A$3:$G$60,4,FALSE)</f>
        <v>uks</v>
      </c>
      <c r="O39" s="23" t="str">
        <f>VLOOKUP(D39,LookupLists!$A$3:$G$60,2,FALSE)</f>
        <v>uk</v>
      </c>
      <c r="P39" s="23" t="str">
        <f>VLOOKUP(D39,LookupLists!$A$3:$G$60,3,FALSE)</f>
        <v>s</v>
      </c>
      <c r="Q39" s="23">
        <f>VLOOKUP(D39,LookupLists!$A$3:$G$60,5,FALSE)</f>
        <v>96</v>
      </c>
      <c r="R39" s="23">
        <f>VLOOKUP(D39,LookupLists!$A$3:$G$60,6,FALSE)</f>
        <v>4</v>
      </c>
      <c r="S39" s="26" t="str">
        <f>VLOOKUP(D39,LookupLists!$A$3:$G$60,7,FALSE)</f>
        <v>64</v>
      </c>
      <c r="T39" s="23" t="str">
        <f>VLOOKUP(E39,Table1[[Resource Type]:[Validation Expression]],1,FALSE)</f>
        <v>Resource Group</v>
      </c>
      <c r="U39" s="23" t="str">
        <f>VLOOKUP(E39,Table1[[Resource Type]:[Validation Expression]],2,FALSE)</f>
        <v>rg</v>
      </c>
      <c r="V39" s="23" t="str">
        <f>VLOOKUP(E39,Table1[[Resource Type]:[Validation Expression]],3,FALSE)</f>
        <v>rg</v>
      </c>
      <c r="W39" s="23" t="str">
        <f>VLOOKUP(E39,Table1[],5,FALSE)</f>
        <v>x</v>
      </c>
    </row>
  </sheetData>
  <mergeCells count="5">
    <mergeCell ref="A1:H1"/>
    <mergeCell ref="B2:F2"/>
    <mergeCell ref="B3:F3"/>
    <mergeCell ref="B4:F4"/>
    <mergeCell ref="I6:W6"/>
  </mergeCells>
  <phoneticPr fontId="9" type="noConversion"/>
  <conditionalFormatting sqref="G23:G25 G27:G30">
    <cfRule type="cellIs" dxfId="31" priority="38" operator="lessThan">
      <formula>0</formula>
    </cfRule>
  </conditionalFormatting>
  <conditionalFormatting sqref="H23:H25 H27:H30">
    <cfRule type="cellIs" dxfId="30" priority="37" operator="equal">
      <formula>FALSE</formula>
    </cfRule>
  </conditionalFormatting>
  <conditionalFormatting sqref="G10">
    <cfRule type="cellIs" dxfId="29" priority="32" operator="lessThan">
      <formula>0</formula>
    </cfRule>
  </conditionalFormatting>
  <conditionalFormatting sqref="H10">
    <cfRule type="cellIs" dxfId="28" priority="31" operator="equal">
      <formula>FALSE</formula>
    </cfRule>
  </conditionalFormatting>
  <conditionalFormatting sqref="G14:G15">
    <cfRule type="cellIs" dxfId="27" priority="30" operator="lessThan">
      <formula>0</formula>
    </cfRule>
  </conditionalFormatting>
  <conditionalFormatting sqref="H14:H15">
    <cfRule type="cellIs" dxfId="26" priority="29" operator="equal">
      <formula>FALSE</formula>
    </cfRule>
  </conditionalFormatting>
  <conditionalFormatting sqref="G18">
    <cfRule type="cellIs" dxfId="25" priority="28" operator="lessThan">
      <formula>0</formula>
    </cfRule>
  </conditionalFormatting>
  <conditionalFormatting sqref="H18">
    <cfRule type="cellIs" dxfId="24" priority="27" operator="equal">
      <formula>FALSE</formula>
    </cfRule>
  </conditionalFormatting>
  <conditionalFormatting sqref="G19">
    <cfRule type="cellIs" dxfId="23" priority="26" operator="lessThan">
      <formula>0</formula>
    </cfRule>
  </conditionalFormatting>
  <conditionalFormatting sqref="H19">
    <cfRule type="cellIs" dxfId="22" priority="25" operator="equal">
      <formula>FALSE</formula>
    </cfRule>
  </conditionalFormatting>
  <conditionalFormatting sqref="G20">
    <cfRule type="cellIs" dxfId="21" priority="24" operator="lessThan">
      <formula>0</formula>
    </cfRule>
  </conditionalFormatting>
  <conditionalFormatting sqref="H20">
    <cfRule type="cellIs" dxfId="20" priority="23" operator="equal">
      <formula>FALSE</formula>
    </cfRule>
  </conditionalFormatting>
  <conditionalFormatting sqref="G13">
    <cfRule type="cellIs" dxfId="19" priority="22" operator="lessThan">
      <formula>0</formula>
    </cfRule>
  </conditionalFormatting>
  <conditionalFormatting sqref="H13">
    <cfRule type="cellIs" dxfId="18" priority="21" operator="equal">
      <formula>FALSE</formula>
    </cfRule>
  </conditionalFormatting>
  <conditionalFormatting sqref="G17">
    <cfRule type="cellIs" dxfId="17" priority="18" operator="lessThan">
      <formula>0</formula>
    </cfRule>
  </conditionalFormatting>
  <conditionalFormatting sqref="H17">
    <cfRule type="cellIs" dxfId="16" priority="17" operator="equal">
      <formula>FALSE</formula>
    </cfRule>
  </conditionalFormatting>
  <conditionalFormatting sqref="G22">
    <cfRule type="cellIs" dxfId="15" priority="16" operator="lessThan">
      <formula>0</formula>
    </cfRule>
  </conditionalFormatting>
  <conditionalFormatting sqref="H22">
    <cfRule type="cellIs" dxfId="14" priority="15" operator="equal">
      <formula>FALSE</formula>
    </cfRule>
  </conditionalFormatting>
  <conditionalFormatting sqref="G9">
    <cfRule type="cellIs" dxfId="13" priority="14" operator="lessThan">
      <formula>0</formula>
    </cfRule>
  </conditionalFormatting>
  <conditionalFormatting sqref="H9">
    <cfRule type="cellIs" dxfId="12" priority="13" operator="equal">
      <formula>FALSE</formula>
    </cfRule>
  </conditionalFormatting>
  <conditionalFormatting sqref="G31">
    <cfRule type="cellIs" dxfId="11" priority="12" operator="lessThan">
      <formula>0</formula>
    </cfRule>
  </conditionalFormatting>
  <conditionalFormatting sqref="H31">
    <cfRule type="cellIs" dxfId="10" priority="11" operator="equal">
      <formula>FALSE</formula>
    </cfRule>
  </conditionalFormatting>
  <conditionalFormatting sqref="G33">
    <cfRule type="cellIs" dxfId="9" priority="10" operator="lessThan">
      <formula>0</formula>
    </cfRule>
  </conditionalFormatting>
  <conditionalFormatting sqref="H33">
    <cfRule type="cellIs" dxfId="8" priority="9" operator="equal">
      <formula>FALSE</formula>
    </cfRule>
  </conditionalFormatting>
  <conditionalFormatting sqref="G35">
    <cfRule type="cellIs" dxfId="7" priority="8" operator="lessThan">
      <formula>0</formula>
    </cfRule>
  </conditionalFormatting>
  <conditionalFormatting sqref="H35">
    <cfRule type="cellIs" dxfId="6" priority="7" operator="equal">
      <formula>FALSE</formula>
    </cfRule>
  </conditionalFormatting>
  <conditionalFormatting sqref="G37">
    <cfRule type="cellIs" dxfId="5" priority="6" operator="lessThan">
      <formula>0</formula>
    </cfRule>
  </conditionalFormatting>
  <conditionalFormatting sqref="H37">
    <cfRule type="cellIs" dxfId="4" priority="5" operator="equal">
      <formula>FALSE</formula>
    </cfRule>
  </conditionalFormatting>
  <conditionalFormatting sqref="G39">
    <cfRule type="cellIs" dxfId="3" priority="4" operator="lessThan">
      <formula>0</formula>
    </cfRule>
  </conditionalFormatting>
  <conditionalFormatting sqref="H39">
    <cfRule type="cellIs" dxfId="2" priority="3" operator="equal">
      <formula>FALSE</formula>
    </cfRule>
  </conditionalFormatting>
  <conditionalFormatting sqref="G26">
    <cfRule type="cellIs" dxfId="1" priority="2" operator="lessThan">
      <formula>0</formula>
    </cfRule>
  </conditionalFormatting>
  <conditionalFormatting sqref="H26">
    <cfRule type="cellIs" dxfId="0" priority="1" operator="equal">
      <formula>FALSE</formula>
    </cfRule>
  </conditionalFormatting>
  <dataValidations count="4">
    <dataValidation type="list" allowBlank="1" showInputMessage="1" showErrorMessage="1" sqref="B5:C5" xr:uid="{17ACBA2E-310B-44B3-BE63-BB21CFE0ECF9}">
      <formula1>Casing</formula1>
    </dataValidation>
    <dataValidation type="list" allowBlank="1" showInputMessage="1" showErrorMessage="1" sqref="D9:D10 D17:D20 D13:D15 D39 D33 D35 D37 D22:D31" xr:uid="{31E87477-F257-43B4-A7B7-152F275212A4}">
      <formula1>AzureRegions</formula1>
    </dataValidation>
    <dataValidation type="list" allowBlank="1" showInputMessage="1" showErrorMessage="1" sqref="E9:E10 E17:E20 E13:E15 E39 E33 E35 E37 E22:E31" xr:uid="{DB75438B-C727-4BA8-BE88-7FC01BC7DE46}">
      <formula1>AzureResourceTypes</formula1>
    </dataValidation>
    <dataValidation type="list" allowBlank="1" showInputMessage="1" showErrorMessage="1" sqref="A9:A10 A17:A20 A13:A15 A39 A33 A35 A37 A22:A31" xr:uid="{2C1D984D-A4B6-4F77-8359-35C31E8F7E5D}">
      <formula1>Environments</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A114"/>
  <sheetViews>
    <sheetView topLeftCell="N1" zoomScale="115" zoomScaleNormal="115" workbookViewId="0">
      <selection activeCell="W4" sqref="W4"/>
    </sheetView>
  </sheetViews>
  <sheetFormatPr baseColWidth="10" defaultColWidth="9.1640625" defaultRowHeight="14" x14ac:dyDescent="0.2"/>
  <cols>
    <col min="1" max="3" width="20.1640625" style="3" customWidth="1"/>
    <col min="4" max="4" width="24.83203125" style="3" customWidth="1"/>
    <col min="5" max="7" width="14" style="3" customWidth="1"/>
    <col min="8" max="8" width="5.1640625" style="3" customWidth="1"/>
    <col min="9" max="9" width="17.33203125" style="3" customWidth="1"/>
    <col min="10" max="12" width="19.6640625" style="3" customWidth="1"/>
    <col min="13" max="13" width="11.6640625" style="3" customWidth="1"/>
    <col min="14" max="14" width="38.6640625" style="3" customWidth="1"/>
    <col min="15" max="17" width="17" style="3" customWidth="1"/>
    <col min="18" max="18" width="4.1640625" style="3" customWidth="1"/>
    <col min="19" max="22" width="17" style="3" customWidth="1"/>
    <col min="23" max="23" width="44.6640625" style="3" customWidth="1"/>
    <col min="24" max="25" width="9.1640625" style="3"/>
    <col min="26" max="26" width="14" style="3" bestFit="1" customWidth="1"/>
    <col min="27" max="16384" width="9.1640625" style="3"/>
  </cols>
  <sheetData>
    <row r="1" spans="1:26" ht="26" x14ac:dyDescent="0.3">
      <c r="A1" s="32" t="s">
        <v>78</v>
      </c>
      <c r="B1" s="32"/>
      <c r="C1" s="32"/>
      <c r="D1" s="32"/>
      <c r="E1" s="32"/>
      <c r="F1" s="32"/>
      <c r="G1" s="32"/>
      <c r="I1" s="32" t="s">
        <v>79</v>
      </c>
      <c r="J1" s="32"/>
      <c r="K1" s="32"/>
      <c r="L1" s="32"/>
      <c r="M1" s="6"/>
      <c r="N1" s="32" t="s">
        <v>80</v>
      </c>
      <c r="O1" s="32"/>
      <c r="P1" s="32"/>
      <c r="Q1" s="32"/>
      <c r="R1" s="32"/>
      <c r="S1" s="32"/>
      <c r="T1" s="32"/>
      <c r="U1" s="32"/>
      <c r="V1" s="32"/>
      <c r="W1" s="32"/>
      <c r="X1" s="6"/>
    </row>
    <row r="2" spans="1:26" ht="33.75" customHeight="1" x14ac:dyDescent="0.2">
      <c r="A2" s="1" t="s">
        <v>81</v>
      </c>
      <c r="B2" s="31" t="s">
        <v>82</v>
      </c>
      <c r="C2" s="31"/>
      <c r="D2" s="31"/>
      <c r="E2" s="31"/>
      <c r="F2" s="31"/>
      <c r="G2" s="31"/>
      <c r="I2" s="1" t="s">
        <v>81</v>
      </c>
      <c r="J2" s="31"/>
      <c r="K2" s="31"/>
      <c r="L2" s="31"/>
      <c r="M2" s="7"/>
      <c r="N2" s="1" t="s">
        <v>81</v>
      </c>
      <c r="O2" s="31" t="s">
        <v>82</v>
      </c>
      <c r="P2" s="31"/>
      <c r="Q2" s="31"/>
      <c r="R2" s="31"/>
      <c r="S2" s="31"/>
      <c r="T2" s="31"/>
      <c r="U2" s="31"/>
      <c r="V2" s="31"/>
      <c r="W2" s="31"/>
      <c r="X2" s="2"/>
      <c r="Y2" s="30" t="s">
        <v>83</v>
      </c>
      <c r="Z2" s="30"/>
    </row>
    <row r="3" spans="1:26" x14ac:dyDescent="0.2">
      <c r="A3" s="2" t="s">
        <v>34</v>
      </c>
      <c r="B3" s="2" t="s">
        <v>84</v>
      </c>
      <c r="C3" s="2" t="s">
        <v>85</v>
      </c>
      <c r="D3" s="2" t="s">
        <v>86</v>
      </c>
      <c r="E3" s="2" t="s">
        <v>87</v>
      </c>
      <c r="F3" s="2" t="s">
        <v>88</v>
      </c>
      <c r="G3" s="2" t="s">
        <v>89</v>
      </c>
      <c r="I3" s="2" t="s">
        <v>39</v>
      </c>
      <c r="J3" s="2" t="s">
        <v>86</v>
      </c>
      <c r="K3" s="2" t="s">
        <v>90</v>
      </c>
      <c r="L3" s="2" t="s">
        <v>91</v>
      </c>
      <c r="M3" s="2"/>
      <c r="N3" s="2" t="s">
        <v>92</v>
      </c>
      <c r="O3" s="2" t="s">
        <v>86</v>
      </c>
      <c r="P3" s="2" t="s">
        <v>90</v>
      </c>
      <c r="Q3" s="2" t="s">
        <v>93</v>
      </c>
      <c r="R3" s="2" t="s">
        <v>91</v>
      </c>
      <c r="S3" s="2" t="s">
        <v>94</v>
      </c>
      <c r="T3" s="2" t="s">
        <v>95</v>
      </c>
      <c r="U3" s="2" t="s">
        <v>29</v>
      </c>
      <c r="V3" s="2" t="s">
        <v>96</v>
      </c>
      <c r="W3" s="2" t="s">
        <v>97</v>
      </c>
    </row>
    <row r="4" spans="1:26" x14ac:dyDescent="0.2">
      <c r="A4" s="3" t="s">
        <v>98</v>
      </c>
      <c r="B4" s="3" t="s">
        <v>99</v>
      </c>
      <c r="C4" s="3" t="s">
        <v>100</v>
      </c>
      <c r="D4" s="3" t="str">
        <f t="shared" ref="D4:D34" si="0">CONCATENATE(B4,"",C4)</f>
        <v>use</v>
      </c>
      <c r="E4" s="3">
        <v>16</v>
      </c>
      <c r="F4" s="3">
        <v>0</v>
      </c>
      <c r="G4" s="4" t="str">
        <f>DEC2HEX(E4+F4)</f>
        <v>10</v>
      </c>
      <c r="I4" s="3" t="s">
        <v>55</v>
      </c>
      <c r="J4" s="3" t="s">
        <v>101</v>
      </c>
      <c r="K4" s="3" t="s">
        <v>102</v>
      </c>
      <c r="L4" s="5">
        <v>1</v>
      </c>
      <c r="M4" s="5"/>
      <c r="N4" s="3" t="s">
        <v>103</v>
      </c>
      <c r="O4" s="3" t="s">
        <v>104</v>
      </c>
      <c r="P4" s="3" t="s">
        <v>104</v>
      </c>
      <c r="Q4" s="3" t="s">
        <v>57</v>
      </c>
      <c r="S4" s="3">
        <v>1</v>
      </c>
      <c r="T4" s="3">
        <v>63</v>
      </c>
      <c r="U4" s="3" t="s">
        <v>105</v>
      </c>
      <c r="V4" s="3" t="s">
        <v>106</v>
      </c>
      <c r="W4" s="3" t="str">
        <f>"^(?![_-])([a-z"&amp; IF(Table1[[#This Row],[Casing]]="Insensitive","A-Z","")&amp;"0-9"&amp; Table1[[#This Row],[special chars]]&amp;"]{"&amp;Table1[[#This Row],[Character min]]&amp;","&amp;Table1[[#This Row],[Character Limit]]-1&amp;"})([^_-]$)"</f>
        <v>^(?![_-])([a-zA-Z0-9_-]{1,62})([^_-]$)</v>
      </c>
      <c r="Y4" s="3" t="b">
        <f>matches(Z4,Table1[[#This Row],[Validation Expression]])</f>
        <v>0</v>
      </c>
      <c r="Z4" s="3" t="s">
        <v>107</v>
      </c>
    </row>
    <row r="5" spans="1:26" x14ac:dyDescent="0.2">
      <c r="A5" s="3" t="s">
        <v>108</v>
      </c>
      <c r="B5" s="3" t="s">
        <v>99</v>
      </c>
      <c r="C5" s="3" t="s">
        <v>109</v>
      </c>
      <c r="D5" s="3" t="str">
        <f t="shared" si="0"/>
        <v>use2</v>
      </c>
      <c r="E5" s="3">
        <v>16</v>
      </c>
      <c r="F5" s="3">
        <v>1</v>
      </c>
      <c r="G5" s="4" t="str">
        <f t="shared" ref="G5:G34" si="1">DEC2HEX(E5+F5)</f>
        <v>11</v>
      </c>
      <c r="I5" s="3" t="s">
        <v>73</v>
      </c>
      <c r="J5" s="3" t="s">
        <v>110</v>
      </c>
      <c r="K5" s="3" t="s">
        <v>111</v>
      </c>
      <c r="L5" s="5">
        <f>L4+1</f>
        <v>2</v>
      </c>
      <c r="M5" s="5"/>
      <c r="N5" s="3" t="s">
        <v>60</v>
      </c>
      <c r="O5" s="3" t="s">
        <v>112</v>
      </c>
      <c r="P5" s="3" t="s">
        <v>113</v>
      </c>
      <c r="Q5" s="3" t="s">
        <v>114</v>
      </c>
      <c r="S5" s="3">
        <v>1</v>
      </c>
      <c r="T5" s="3">
        <v>60</v>
      </c>
      <c r="U5" s="3" t="s">
        <v>105</v>
      </c>
      <c r="V5" s="3" t="s">
        <v>106</v>
      </c>
      <c r="W5" s="3" t="str">
        <f>"^(?![_-])([a-z"&amp; IF(Table1[[#This Row],[Casing]]="Insensitive","A-Z","")&amp;"0-9"&amp; Table1[[#This Row],[special chars]]&amp;"]{"&amp;Table1[[#This Row],[Character min]]&amp;","&amp;Table1[[#This Row],[Character Limit]]-1&amp;"})([^_-]$)"</f>
        <v>^(?![_-])([a-zA-Z0-9_-]{1,59})([^_-]$)</v>
      </c>
      <c r="Y5" s="3" t="b">
        <f>matches(Z5,Table1[[#This Row],[Validation Expression]])</f>
        <v>0</v>
      </c>
      <c r="Z5" s="3" t="s">
        <v>107</v>
      </c>
    </row>
    <row r="6" spans="1:26" x14ac:dyDescent="0.2">
      <c r="A6" s="3" t="s">
        <v>115</v>
      </c>
      <c r="B6" s="3" t="s">
        <v>99</v>
      </c>
      <c r="C6" s="3" t="s">
        <v>116</v>
      </c>
      <c r="D6" s="3" t="str">
        <f t="shared" si="0"/>
        <v>usc</v>
      </c>
      <c r="E6" s="3">
        <v>16</v>
      </c>
      <c r="F6" s="3">
        <v>4</v>
      </c>
      <c r="G6" s="4" t="str">
        <f t="shared" si="1"/>
        <v>14</v>
      </c>
      <c r="I6" s="3" t="s">
        <v>68</v>
      </c>
      <c r="J6" s="3" t="s">
        <v>117</v>
      </c>
      <c r="K6" s="3" t="s">
        <v>118</v>
      </c>
      <c r="L6" s="5">
        <f>L5+1</f>
        <v>3</v>
      </c>
      <c r="M6" s="5"/>
      <c r="N6" s="3" t="s">
        <v>119</v>
      </c>
      <c r="O6" s="3" t="s">
        <v>120</v>
      </c>
      <c r="P6" s="3" t="s">
        <v>120</v>
      </c>
      <c r="Q6" s="3" t="s">
        <v>114</v>
      </c>
      <c r="S6" s="3">
        <v>1</v>
      </c>
      <c r="T6" s="3">
        <v>50</v>
      </c>
      <c r="U6" s="3" t="s">
        <v>105</v>
      </c>
      <c r="V6" s="3" t="s">
        <v>121</v>
      </c>
      <c r="W6" s="3" t="str">
        <f>"^(?![_-])([a-z"&amp; IF(Table1[[#This Row],[Casing]]="Insensitive","A-Z","")&amp;"0-9"&amp; Table1[[#This Row],[special chars]]&amp;"]{"&amp;Table1[[#This Row],[Character min]]&amp;","&amp;Table1[[#This Row],[Character Limit]]-1&amp;"})([^_-]$)"</f>
        <v>^(?![_-])([a-zA-Z0-9-]{1,49})([^_-]$)</v>
      </c>
      <c r="Y6" s="3" t="b">
        <f>matches(Z6,Table1[[#This Row],[Validation Expression]])</f>
        <v>0</v>
      </c>
    </row>
    <row r="7" spans="1:26" x14ac:dyDescent="0.2">
      <c r="A7" s="3" t="s">
        <v>122</v>
      </c>
      <c r="B7" s="3" t="s">
        <v>99</v>
      </c>
      <c r="C7" s="3" t="s">
        <v>123</v>
      </c>
      <c r="D7" s="3" t="str">
        <f t="shared" si="0"/>
        <v>uscn</v>
      </c>
      <c r="E7" s="3">
        <v>16</v>
      </c>
      <c r="F7" s="3">
        <v>5</v>
      </c>
      <c r="G7" s="4" t="str">
        <f t="shared" si="1"/>
        <v>15</v>
      </c>
      <c r="I7" s="3" t="s">
        <v>124</v>
      </c>
      <c r="J7" s="3" t="s">
        <v>125</v>
      </c>
      <c r="K7" s="3" t="s">
        <v>126</v>
      </c>
      <c r="L7" s="5">
        <f>L6+1</f>
        <v>4</v>
      </c>
      <c r="M7" s="5"/>
      <c r="N7" s="3" t="s">
        <v>127</v>
      </c>
      <c r="O7" s="3" t="s">
        <v>128</v>
      </c>
      <c r="P7" s="3" t="s">
        <v>128</v>
      </c>
      <c r="Q7" s="3" t="s">
        <v>57</v>
      </c>
      <c r="S7" s="3">
        <v>1</v>
      </c>
      <c r="T7" s="3">
        <v>63</v>
      </c>
      <c r="U7" s="3" t="s">
        <v>105</v>
      </c>
      <c r="V7" s="3" t="s">
        <v>106</v>
      </c>
      <c r="W7" s="3" t="str">
        <f>"^(?![_-])([a-z"&amp; IF(Table1[[#This Row],[Casing]]="Insensitive","A-Z","")&amp;"0-9"&amp; Table1[[#This Row],[special chars]]&amp;"]{"&amp;Table1[[#This Row],[Character min]]&amp;","&amp;Table1[[#This Row],[Character Limit]]-1&amp;"})([^_-]$)"</f>
        <v>^(?![_-])([a-zA-Z0-9_-]{1,62})([^_-]$)</v>
      </c>
      <c r="Y7" s="3" t="b">
        <f>matches(Z7,Table1[[#This Row],[Validation Expression]])</f>
        <v>0</v>
      </c>
    </row>
    <row r="8" spans="1:26" x14ac:dyDescent="0.2">
      <c r="A8" s="3" t="s">
        <v>129</v>
      </c>
      <c r="B8" s="3" t="s">
        <v>99</v>
      </c>
      <c r="C8" s="3" t="s">
        <v>130</v>
      </c>
      <c r="D8" s="3" t="str">
        <f t="shared" si="0"/>
        <v>uscw</v>
      </c>
      <c r="E8" s="3">
        <v>16</v>
      </c>
      <c r="F8" s="3">
        <v>6</v>
      </c>
      <c r="G8" s="4" t="str">
        <f t="shared" si="1"/>
        <v>16</v>
      </c>
      <c r="I8" s="3" t="s">
        <v>69</v>
      </c>
      <c r="J8" s="3" t="s">
        <v>131</v>
      </c>
      <c r="K8" s="3" t="s">
        <v>132</v>
      </c>
      <c r="L8" s="5">
        <f>L7+1</f>
        <v>5</v>
      </c>
      <c r="N8" s="3" t="s">
        <v>133</v>
      </c>
      <c r="O8" s="3" t="s">
        <v>134</v>
      </c>
      <c r="P8" s="3" t="s">
        <v>135</v>
      </c>
      <c r="Q8" s="3" t="s">
        <v>114</v>
      </c>
      <c r="S8" s="3">
        <v>1</v>
      </c>
      <c r="T8" s="3">
        <v>40</v>
      </c>
      <c r="U8" s="3" t="s">
        <v>105</v>
      </c>
      <c r="V8" s="3" t="s">
        <v>106</v>
      </c>
      <c r="W8" s="3" t="str">
        <f>"^(?![_-])([a-z"&amp; IF(Table1[[#This Row],[Casing]]="Insensitive","A-Z","")&amp;"0-9"&amp; Table1[[#This Row],[special chars]]&amp;"]{"&amp;Table1[[#This Row],[Character min]]&amp;","&amp;Table1[[#This Row],[Character Limit]]-1&amp;"})([^_-]$)"</f>
        <v>^(?![_-])([a-zA-Z0-9_-]{1,39})([^_-]$)</v>
      </c>
      <c r="Y8" s="3" t="b">
        <f>matches(Z8,Table1[[#This Row],[Validation Expression]])</f>
        <v>0</v>
      </c>
    </row>
    <row r="9" spans="1:26" x14ac:dyDescent="0.2">
      <c r="A9" s="3" t="s">
        <v>136</v>
      </c>
      <c r="B9" s="3" t="s">
        <v>99</v>
      </c>
      <c r="C9" s="3" t="s">
        <v>137</v>
      </c>
      <c r="D9" s="3" t="str">
        <f t="shared" si="0"/>
        <v>usw</v>
      </c>
      <c r="E9" s="3">
        <v>16</v>
      </c>
      <c r="F9" s="3">
        <v>8</v>
      </c>
      <c r="G9" s="4" t="str">
        <f t="shared" si="1"/>
        <v>18</v>
      </c>
      <c r="N9" s="3" t="s">
        <v>138</v>
      </c>
      <c r="O9" s="3" t="s">
        <v>139</v>
      </c>
      <c r="P9" s="3" t="s">
        <v>139</v>
      </c>
      <c r="Q9" s="3" t="s">
        <v>57</v>
      </c>
      <c r="S9" s="3">
        <v>1</v>
      </c>
      <c r="T9" s="3">
        <v>38</v>
      </c>
      <c r="U9" s="3" t="s">
        <v>105</v>
      </c>
      <c r="V9" s="3" t="s">
        <v>106</v>
      </c>
      <c r="W9" s="3" t="str">
        <f>"^(?![_-])([a-z"&amp; IF(Table1[[#This Row],[Casing]]="Insensitive","A-Z","")&amp;"0-9"&amp; Table1[[#This Row],[special chars]]&amp;"]{"&amp;Table1[[#This Row],[Character min]]&amp;","&amp;Table1[[#This Row],[Character Limit]]-1&amp;"})([^_-]$)"</f>
        <v>^(?![_-])([a-zA-Z0-9_-]{1,37})([^_-]$)</v>
      </c>
      <c r="Y9" s="3" t="b">
        <f>matches(Z9,Table1[[#This Row],[Validation Expression]])</f>
        <v>0</v>
      </c>
    </row>
    <row r="10" spans="1:26" x14ac:dyDescent="0.2">
      <c r="A10" s="3" t="s">
        <v>140</v>
      </c>
      <c r="B10" s="3" t="s">
        <v>99</v>
      </c>
      <c r="C10" s="3" t="s">
        <v>141</v>
      </c>
      <c r="D10" s="3" t="str">
        <f t="shared" si="0"/>
        <v>usw2</v>
      </c>
      <c r="E10" s="3">
        <v>16</v>
      </c>
      <c r="F10" s="3">
        <v>9</v>
      </c>
      <c r="G10" s="4" t="str">
        <f t="shared" si="1"/>
        <v>19</v>
      </c>
      <c r="N10" s="3" t="s">
        <v>58</v>
      </c>
      <c r="O10" s="3" t="s">
        <v>142</v>
      </c>
      <c r="P10" s="3" t="s">
        <v>142</v>
      </c>
      <c r="Q10" s="3" t="s">
        <v>57</v>
      </c>
      <c r="S10" s="3">
        <v>1</v>
      </c>
      <c r="T10" s="3">
        <v>40</v>
      </c>
      <c r="U10" s="3" t="s">
        <v>105</v>
      </c>
      <c r="V10" s="3" t="s">
        <v>106</v>
      </c>
      <c r="W10" s="3" t="str">
        <f>"^(?![_-])([a-z"&amp; IF(Table1[[#This Row],[Casing]]="Insensitive","A-Z","")&amp;"0-9"&amp; Table1[[#This Row],[special chars]]&amp;"]{"&amp;Table1[[#This Row],[Character min]]&amp;","&amp;Table1[[#This Row],[Character Limit]]-1&amp;"})([^_-]$)"</f>
        <v>^(?![_-])([a-zA-Z0-9_-]{1,39})([^_-]$)</v>
      </c>
      <c r="Y10" s="3" t="b">
        <f>matches(Z10,Table1[[#This Row],[Validation Expression]])</f>
        <v>0</v>
      </c>
    </row>
    <row r="11" spans="1:26" x14ac:dyDescent="0.2">
      <c r="A11" s="3" t="s">
        <v>143</v>
      </c>
      <c r="B11" s="3" t="s">
        <v>144</v>
      </c>
      <c r="C11" s="3" t="s">
        <v>100</v>
      </c>
      <c r="D11" s="3" t="str">
        <f t="shared" si="0"/>
        <v>cae</v>
      </c>
      <c r="E11" s="3">
        <v>32</v>
      </c>
      <c r="F11" s="3">
        <v>0</v>
      </c>
      <c r="G11" s="4" t="str">
        <f t="shared" si="1"/>
        <v>20</v>
      </c>
      <c r="N11" s="3" t="s">
        <v>145</v>
      </c>
      <c r="O11" s="3" t="s">
        <v>146</v>
      </c>
      <c r="P11" s="3" t="s">
        <v>146</v>
      </c>
      <c r="Q11" s="3" t="s">
        <v>57</v>
      </c>
      <c r="R11" s="3" t="s">
        <v>147</v>
      </c>
      <c r="S11" s="3">
        <v>1</v>
      </c>
      <c r="T11" s="3">
        <v>80</v>
      </c>
      <c r="U11" s="3" t="s">
        <v>105</v>
      </c>
      <c r="V11" s="3" t="s">
        <v>148</v>
      </c>
      <c r="W11" s="3" t="str">
        <f>"^(?![_-])([a-z"&amp; IF(Table1[[#This Row],[Casing]]="Insensitive","A-Z","")&amp;"0-9"&amp; Table1[[#This Row],[special chars]]&amp;"]{"&amp;Table1[[#This Row],[Character min]]&amp;","&amp;Table1[[#This Row],[Character Limit]]-1&amp;"})([^_-]$)"</f>
        <v>^(?![_-])([a-zA-Z0-9_\.-]{1,79})([^_-]$)</v>
      </c>
      <c r="Y11" s="3" t="b">
        <f>matches(Z11,Table1[[#This Row],[Validation Expression]])</f>
        <v>0</v>
      </c>
    </row>
    <row r="12" spans="1:26" x14ac:dyDescent="0.2">
      <c r="A12" s="3" t="s">
        <v>149</v>
      </c>
      <c r="B12" s="3" t="s">
        <v>144</v>
      </c>
      <c r="C12" s="3" t="s">
        <v>116</v>
      </c>
      <c r="D12" s="3" t="str">
        <f t="shared" si="0"/>
        <v>cac</v>
      </c>
      <c r="E12" s="3">
        <v>32</v>
      </c>
      <c r="F12" s="3">
        <v>4</v>
      </c>
      <c r="G12" s="4" t="str">
        <f t="shared" si="1"/>
        <v>24</v>
      </c>
      <c r="N12" s="3" t="s">
        <v>65</v>
      </c>
      <c r="O12" s="3" t="s">
        <v>150</v>
      </c>
      <c r="P12" s="3" t="s">
        <v>150</v>
      </c>
      <c r="Q12" s="3" t="s">
        <v>57</v>
      </c>
      <c r="S12" s="3">
        <v>1</v>
      </c>
      <c r="T12" s="3">
        <v>63</v>
      </c>
      <c r="U12" s="3" t="s">
        <v>105</v>
      </c>
      <c r="V12" s="3" t="s">
        <v>106</v>
      </c>
      <c r="W12" s="3" t="str">
        <f>"^(?![_-])([a-z"&amp; IF(Table1[[#This Row],[Casing]]="Insensitive","A-Z","")&amp;"0-9"&amp; Table1[[#This Row],[special chars]]&amp;"]{"&amp;Table1[[#This Row],[Character min]]&amp;","&amp;Table1[[#This Row],[Character Limit]]-1&amp;"})([^_-]$)"</f>
        <v>^(?![_-])([a-zA-Z0-9_-]{1,62})([^_-]$)</v>
      </c>
      <c r="Y12" s="3" t="b">
        <f>matches(Z12,Table1[[#This Row],[Validation Expression]])</f>
        <v>0</v>
      </c>
    </row>
    <row r="13" spans="1:26" x14ac:dyDescent="0.2">
      <c r="A13" s="3" t="s">
        <v>151</v>
      </c>
      <c r="B13" s="3" t="s">
        <v>152</v>
      </c>
      <c r="C13" s="3" t="s">
        <v>125</v>
      </c>
      <c r="D13" s="3" t="str">
        <f t="shared" si="0"/>
        <v>brs</v>
      </c>
      <c r="E13" s="3">
        <v>48</v>
      </c>
      <c r="F13" s="3">
        <v>0</v>
      </c>
      <c r="G13" s="4" t="str">
        <f t="shared" si="1"/>
        <v>30</v>
      </c>
      <c r="N13" s="3" t="s">
        <v>153</v>
      </c>
      <c r="O13" s="3" t="s">
        <v>154</v>
      </c>
      <c r="P13" s="3" t="s">
        <v>154</v>
      </c>
      <c r="Q13" s="3" t="s">
        <v>57</v>
      </c>
      <c r="R13" s="3" t="s">
        <v>147</v>
      </c>
      <c r="S13" s="3">
        <v>1</v>
      </c>
      <c r="T13" s="3">
        <v>63</v>
      </c>
      <c r="U13" s="3" t="s">
        <v>105</v>
      </c>
      <c r="V13" s="3" t="s">
        <v>148</v>
      </c>
      <c r="W13" s="3" t="str">
        <f>"^(?![_-])([a-z"&amp; IF(Table1[[#This Row],[Casing]]="Insensitive","A-Z","")&amp;"0-9"&amp; Table1[[#This Row],[special chars]]&amp;"]{"&amp;Table1[[#This Row],[Character min]]&amp;","&amp;Table1[[#This Row],[Character Limit]]-1&amp;"})([^_-]$)"</f>
        <v>^(?![_-])([a-zA-Z0-9_\.-]{1,62})([^_-]$)</v>
      </c>
      <c r="Y13" s="3" t="b">
        <f>matches(Z13,Table1[[#This Row],[Validation Expression]])</f>
        <v>0</v>
      </c>
    </row>
    <row r="14" spans="1:26" x14ac:dyDescent="0.2">
      <c r="A14" s="3" t="s">
        <v>155</v>
      </c>
      <c r="B14" s="3" t="s">
        <v>156</v>
      </c>
      <c r="C14" s="3" t="s">
        <v>157</v>
      </c>
      <c r="D14" s="3" t="str">
        <f t="shared" si="0"/>
        <v>eun</v>
      </c>
      <c r="E14" s="3">
        <v>64</v>
      </c>
      <c r="F14" s="3">
        <v>0</v>
      </c>
      <c r="G14" s="4" t="str">
        <f t="shared" si="1"/>
        <v>40</v>
      </c>
      <c r="N14" s="3" t="s">
        <v>158</v>
      </c>
      <c r="O14" s="3" t="s">
        <v>159</v>
      </c>
      <c r="P14" s="3" t="s">
        <v>159</v>
      </c>
      <c r="Q14" s="3" t="s">
        <v>57</v>
      </c>
      <c r="S14" s="3">
        <v>1</v>
      </c>
      <c r="T14" s="3">
        <v>63</v>
      </c>
      <c r="U14" s="3" t="s">
        <v>105</v>
      </c>
      <c r="V14" s="3" t="s">
        <v>106</v>
      </c>
      <c r="W14" s="3" t="str">
        <f>"^(?![_-])([a-z"&amp; IF(Table1[[#This Row],[Casing]]="Insensitive","A-Z","")&amp;"0-9"&amp; Table1[[#This Row],[special chars]]&amp;"]{"&amp;Table1[[#This Row],[Character min]]&amp;","&amp;Table1[[#This Row],[Character Limit]]-1&amp;"})([^_-]$)"</f>
        <v>^(?![_-])([a-zA-Z0-9_-]{1,62})([^_-]$)</v>
      </c>
      <c r="Y14" s="3" t="b">
        <f>matches(Z14,Table1[[#This Row],[Validation Expression]])</f>
        <v>0</v>
      </c>
    </row>
    <row r="15" spans="1:26" x14ac:dyDescent="0.2">
      <c r="A15" s="3" t="s">
        <v>160</v>
      </c>
      <c r="B15" s="3" t="s">
        <v>156</v>
      </c>
      <c r="C15" s="3" t="s">
        <v>137</v>
      </c>
      <c r="D15" s="3" t="str">
        <f t="shared" si="0"/>
        <v>euw</v>
      </c>
      <c r="E15" s="3">
        <v>80</v>
      </c>
      <c r="F15" s="3">
        <v>4</v>
      </c>
      <c r="G15" s="4" t="str">
        <f t="shared" si="1"/>
        <v>54</v>
      </c>
      <c r="N15" s="3" t="s">
        <v>161</v>
      </c>
      <c r="O15" s="3" t="s">
        <v>162</v>
      </c>
      <c r="P15" s="3" t="s">
        <v>162</v>
      </c>
      <c r="Q15" s="3" t="s">
        <v>57</v>
      </c>
      <c r="R15" s="3" t="s">
        <v>147</v>
      </c>
      <c r="S15" s="3">
        <v>1</v>
      </c>
      <c r="T15" s="3">
        <v>80</v>
      </c>
      <c r="U15" s="3" t="s">
        <v>105</v>
      </c>
      <c r="V15" s="3" t="s">
        <v>106</v>
      </c>
      <c r="W15" s="3" t="str">
        <f>"^(?![_-])([a-z"&amp; IF(Table1[[#This Row],[Casing]]="Insensitive","A-Z","")&amp;"0-9"&amp; Table1[[#This Row],[special chars]]&amp;"]{"&amp;Table1[[#This Row],[Character min]]&amp;","&amp;Table1[[#This Row],[Character Limit]]-1&amp;"})([^_-]$)"</f>
        <v>^(?![_-])([a-zA-Z0-9_-]{1,79})([^_-]$)</v>
      </c>
      <c r="Y15" s="3" t="b">
        <f>matches(Z15,Table1[[#This Row],[Validation Expression]])</f>
        <v>0</v>
      </c>
    </row>
    <row r="16" spans="1:26" x14ac:dyDescent="0.2">
      <c r="A16" s="3" t="s">
        <v>163</v>
      </c>
      <c r="B16" s="3" t="s">
        <v>164</v>
      </c>
      <c r="C16" s="3" t="s">
        <v>116</v>
      </c>
      <c r="D16" s="3" t="str">
        <f t="shared" si="0"/>
        <v>dec</v>
      </c>
      <c r="E16" s="3">
        <v>80</v>
      </c>
      <c r="F16" s="3">
        <v>0</v>
      </c>
      <c r="G16" s="4" t="str">
        <f t="shared" si="1"/>
        <v>50</v>
      </c>
      <c r="N16" s="3" t="s">
        <v>165</v>
      </c>
      <c r="O16" s="3" t="s">
        <v>166</v>
      </c>
      <c r="P16" s="3" t="s">
        <v>166</v>
      </c>
      <c r="Q16" s="3" t="s">
        <v>57</v>
      </c>
      <c r="S16" s="3">
        <v>1</v>
      </c>
      <c r="T16" s="3">
        <v>63</v>
      </c>
      <c r="U16" s="3" t="s">
        <v>105</v>
      </c>
      <c r="V16" s="3" t="s">
        <v>106</v>
      </c>
      <c r="W16" s="3" t="str">
        <f>"^(?![_-])([a-z"&amp; IF(Table1[[#This Row],[Casing]]="Insensitive","A-Z","")&amp;"0-9"&amp; Table1[[#This Row],[special chars]]&amp;"]{"&amp;Table1[[#This Row],[Character min]]&amp;","&amp;Table1[[#This Row],[Character Limit]]-1&amp;"})([^_-]$)"</f>
        <v>^(?![_-])([a-zA-Z0-9_-]{1,62})([^_-]$)</v>
      </c>
      <c r="Y16" s="3" t="b">
        <f>matches(Z16,Table1[[#This Row],[Validation Expression]])</f>
        <v>0</v>
      </c>
    </row>
    <row r="17" spans="1:26" x14ac:dyDescent="0.2">
      <c r="A17" s="3" t="s">
        <v>167</v>
      </c>
      <c r="B17" s="3" t="s">
        <v>164</v>
      </c>
      <c r="C17" s="3" t="s">
        <v>168</v>
      </c>
      <c r="D17" s="3" t="str">
        <f t="shared" si="0"/>
        <v>dene</v>
      </c>
      <c r="E17" s="3">
        <v>80</v>
      </c>
      <c r="F17" s="3">
        <v>4</v>
      </c>
      <c r="G17" s="4" t="str">
        <f t="shared" si="1"/>
        <v>54</v>
      </c>
      <c r="N17" s="3" t="s">
        <v>169</v>
      </c>
      <c r="O17" s="3" t="s">
        <v>170</v>
      </c>
      <c r="P17" s="3" t="s">
        <v>170</v>
      </c>
      <c r="Q17" s="3" t="s">
        <v>57</v>
      </c>
      <c r="S17" s="3">
        <v>1</v>
      </c>
      <c r="T17" s="3">
        <v>63</v>
      </c>
      <c r="U17" s="3" t="s">
        <v>105</v>
      </c>
      <c r="V17" s="3" t="s">
        <v>106</v>
      </c>
      <c r="W17" s="3" t="str">
        <f>"^(?![_-])([a-z"&amp; IF(Table1[[#This Row],[Casing]]="Insensitive","A-Z","")&amp;"0-9"&amp; Table1[[#This Row],[special chars]]&amp;"]{"&amp;Table1[[#This Row],[Character min]]&amp;","&amp;Table1[[#This Row],[Character Limit]]-1&amp;"})([^_-]$)"</f>
        <v>^(?![_-])([a-zA-Z0-9_-]{1,62})([^_-]$)</v>
      </c>
      <c r="Y17" s="3" t="b">
        <f>matches(Z17,Table1[[#This Row],[Validation Expression]])</f>
        <v>0</v>
      </c>
    </row>
    <row r="18" spans="1:26" x14ac:dyDescent="0.2">
      <c r="A18" s="3" t="s">
        <v>67</v>
      </c>
      <c r="B18" s="3" t="s">
        <v>171</v>
      </c>
      <c r="C18" s="3" t="s">
        <v>137</v>
      </c>
      <c r="D18" s="3" t="str">
        <f t="shared" si="0"/>
        <v>ukw</v>
      </c>
      <c r="E18" s="3">
        <v>96</v>
      </c>
      <c r="F18" s="3">
        <v>0</v>
      </c>
      <c r="G18" s="4" t="str">
        <f t="shared" si="1"/>
        <v>60</v>
      </c>
      <c r="N18" s="3" t="s">
        <v>172</v>
      </c>
      <c r="O18" s="3" t="s">
        <v>173</v>
      </c>
      <c r="P18" s="3" t="s">
        <v>173</v>
      </c>
      <c r="Q18" s="3" t="s">
        <v>57</v>
      </c>
      <c r="S18" s="3">
        <v>1</v>
      </c>
      <c r="T18" s="3">
        <v>63</v>
      </c>
      <c r="U18" s="3" t="s">
        <v>105</v>
      </c>
      <c r="V18" s="3" t="s">
        <v>106</v>
      </c>
      <c r="W18" s="3" t="str">
        <f>"^(?![_-])([a-z"&amp; IF(Table1[[#This Row],[Casing]]="Insensitive","A-Z","")&amp;"0-9"&amp; Table1[[#This Row],[special chars]]&amp;"]{"&amp;Table1[[#This Row],[Character min]]&amp;","&amp;Table1[[#This Row],[Character Limit]]-1&amp;"})([^_-]$)"</f>
        <v>^(?![_-])([a-zA-Z0-9_-]{1,62})([^_-]$)</v>
      </c>
      <c r="Y18" s="3" t="b">
        <f>matches(Z18,Table1[[#This Row],[Validation Expression]])</f>
        <v>0</v>
      </c>
    </row>
    <row r="19" spans="1:26" x14ac:dyDescent="0.2">
      <c r="A19" s="3" t="s">
        <v>56</v>
      </c>
      <c r="B19" s="3" t="s">
        <v>171</v>
      </c>
      <c r="C19" s="3" t="s">
        <v>125</v>
      </c>
      <c r="D19" s="3" t="str">
        <f t="shared" si="0"/>
        <v>uks</v>
      </c>
      <c r="E19" s="3">
        <v>96</v>
      </c>
      <c r="F19" s="3">
        <v>4</v>
      </c>
      <c r="G19" s="4" t="str">
        <f t="shared" si="1"/>
        <v>64</v>
      </c>
      <c r="N19" s="3" t="s">
        <v>174</v>
      </c>
      <c r="O19" s="3" t="s">
        <v>175</v>
      </c>
      <c r="P19" s="3" t="s">
        <v>175</v>
      </c>
      <c r="Q19" s="3" t="s">
        <v>114</v>
      </c>
      <c r="R19" s="3" t="s">
        <v>147</v>
      </c>
      <c r="S19" s="3">
        <v>1</v>
      </c>
      <c r="T19" s="3">
        <v>63</v>
      </c>
      <c r="U19" s="3" t="s">
        <v>105</v>
      </c>
      <c r="V19" s="3" t="s">
        <v>106</v>
      </c>
      <c r="W19" s="3" t="str">
        <f>"^(?![_-])([a-z"&amp; IF(Table1[[#This Row],[Casing]]="Insensitive","A-Z","")&amp;"0-9"&amp; Table1[[#This Row],[special chars]]&amp;"]{"&amp;Table1[[#This Row],[Character min]]&amp;","&amp;Table1[[#This Row],[Character Limit]]-1&amp;"})([^_-]$)"</f>
        <v>^(?![_-])([a-zA-Z0-9_-]{1,62})([^_-]$)</v>
      </c>
      <c r="Y19" s="3" t="b">
        <f>matches(Z19,Table1[[#This Row],[Validation Expression]])</f>
        <v>0</v>
      </c>
    </row>
    <row r="20" spans="1:26" x14ac:dyDescent="0.2">
      <c r="A20" s="3" t="s">
        <v>176</v>
      </c>
      <c r="B20" s="3" t="s">
        <v>177</v>
      </c>
      <c r="C20" s="3" t="s">
        <v>116</v>
      </c>
      <c r="D20" s="3" t="str">
        <f t="shared" si="0"/>
        <v>frc</v>
      </c>
      <c r="E20" s="3">
        <v>112</v>
      </c>
      <c r="F20" s="3">
        <v>0</v>
      </c>
      <c r="G20" s="4" t="str">
        <f t="shared" si="1"/>
        <v>70</v>
      </c>
      <c r="N20" s="3" t="s">
        <v>178</v>
      </c>
      <c r="O20" s="3" t="s">
        <v>179</v>
      </c>
      <c r="P20" s="3" t="s">
        <v>179</v>
      </c>
      <c r="Q20" s="3" t="s">
        <v>57</v>
      </c>
      <c r="S20" s="3">
        <v>1</v>
      </c>
      <c r="T20" s="3">
        <v>63</v>
      </c>
      <c r="U20" s="3" t="s">
        <v>105</v>
      </c>
      <c r="V20" s="3" t="s">
        <v>106</v>
      </c>
      <c r="W20" s="3" t="str">
        <f>"^(?![_-])([a-z"&amp; IF(Table1[[#This Row],[Casing]]="Insensitive","A-Z","")&amp;"0-9"&amp; Table1[[#This Row],[special chars]]&amp;"]{"&amp;Table1[[#This Row],[Character min]]&amp;","&amp;Table1[[#This Row],[Character Limit]]-1&amp;"})([^_-]$)"</f>
        <v>^(?![_-])([a-zA-Z0-9_-]{1,62})([^_-]$)</v>
      </c>
      <c r="Y20" s="3" t="b">
        <f>matches(Z20,Table1[[#This Row],[Validation Expression]])</f>
        <v>0</v>
      </c>
    </row>
    <row r="21" spans="1:26" x14ac:dyDescent="0.2">
      <c r="A21" s="3" t="s">
        <v>180</v>
      </c>
      <c r="B21" s="3" t="s">
        <v>177</v>
      </c>
      <c r="C21" s="3" t="s">
        <v>125</v>
      </c>
      <c r="D21" s="3" t="str">
        <f t="shared" si="0"/>
        <v>frs</v>
      </c>
      <c r="E21" s="3">
        <v>112</v>
      </c>
      <c r="F21" s="3">
        <v>4</v>
      </c>
      <c r="G21" s="4" t="str">
        <f t="shared" si="1"/>
        <v>74</v>
      </c>
      <c r="N21" s="3" t="s">
        <v>181</v>
      </c>
      <c r="O21" s="3" t="s">
        <v>182</v>
      </c>
      <c r="P21" s="3" t="s">
        <v>182</v>
      </c>
      <c r="Q21" s="3" t="s">
        <v>57</v>
      </c>
      <c r="R21" s="3" t="s">
        <v>147</v>
      </c>
      <c r="S21" s="3">
        <v>1</v>
      </c>
      <c r="T21" s="3">
        <v>64</v>
      </c>
      <c r="U21" s="3" t="s">
        <v>105</v>
      </c>
      <c r="V21" s="3" t="s">
        <v>106</v>
      </c>
      <c r="W21" s="3" t="str">
        <f>"^(?![_-])([a-z"&amp; IF(Table1[[#This Row],[Casing]]="Insensitive","A-Z","")&amp;"0-9"&amp; Table1[[#This Row],[special chars]]&amp;"]{"&amp;Table1[[#This Row],[Character min]]&amp;","&amp;Table1[[#This Row],[Character Limit]]-1&amp;"})([^_-]$)"</f>
        <v>^(?![_-])([a-zA-Z0-9_-]{1,63})([^_-]$)</v>
      </c>
      <c r="Y21" s="3" t="b">
        <f>matches(Z21,Table1[[#This Row],[Validation Expression]])</f>
        <v>0</v>
      </c>
    </row>
    <row r="22" spans="1:26" x14ac:dyDescent="0.2">
      <c r="A22" s="3" t="s">
        <v>183</v>
      </c>
      <c r="B22" s="3" t="s">
        <v>166</v>
      </c>
      <c r="C22" s="3" t="s">
        <v>184</v>
      </c>
      <c r="D22" s="3" t="str">
        <f t="shared" si="0"/>
        <v>asse</v>
      </c>
      <c r="E22" s="3">
        <v>128</v>
      </c>
      <c r="F22" s="3">
        <v>0</v>
      </c>
      <c r="G22" s="4" t="str">
        <f t="shared" si="1"/>
        <v>80</v>
      </c>
      <c r="N22" s="3" t="s">
        <v>185</v>
      </c>
      <c r="O22" s="3" t="s">
        <v>186</v>
      </c>
      <c r="P22" s="3" t="s">
        <v>186</v>
      </c>
      <c r="Q22" s="3" t="s">
        <v>57</v>
      </c>
      <c r="R22" s="3" t="s">
        <v>147</v>
      </c>
      <c r="S22" s="3">
        <v>5</v>
      </c>
      <c r="T22" s="3">
        <v>50</v>
      </c>
      <c r="U22" s="3" t="s">
        <v>105</v>
      </c>
      <c r="W22" s="3" t="str">
        <f>"^(?![_-])([a-z"&amp; IF(Table1[[#This Row],[Casing]]="Insensitive","A-Z","")&amp;"0-9"&amp; Table1[[#This Row],[special chars]]&amp;"]{"&amp;Table1[[#This Row],[Character min]]&amp;","&amp;Table1[[#This Row],[Character Limit]]-1&amp;"})([^_-]$)"</f>
        <v>^(?![_-])([a-zA-Z0-9]{5,49})([^_-]$)</v>
      </c>
      <c r="Y22" s="3" t="b">
        <f>matches(Z22,Table1[[#This Row],[Validation Expression]])</f>
        <v>0</v>
      </c>
    </row>
    <row r="23" spans="1:26" x14ac:dyDescent="0.2">
      <c r="A23" s="3" t="s">
        <v>187</v>
      </c>
      <c r="B23" s="3" t="s">
        <v>166</v>
      </c>
      <c r="C23" s="3" t="s">
        <v>100</v>
      </c>
      <c r="D23" s="3" t="str">
        <f t="shared" si="0"/>
        <v>ase</v>
      </c>
      <c r="E23" s="3">
        <v>128</v>
      </c>
      <c r="F23" s="3">
        <v>4</v>
      </c>
      <c r="G23" s="4" t="str">
        <f t="shared" si="1"/>
        <v>84</v>
      </c>
      <c r="N23" s="3" t="s">
        <v>188</v>
      </c>
      <c r="O23" s="3" t="s">
        <v>189</v>
      </c>
      <c r="P23" s="3" t="s">
        <v>189</v>
      </c>
      <c r="Q23" s="3" t="s">
        <v>114</v>
      </c>
      <c r="R23" s="3" t="s">
        <v>147</v>
      </c>
      <c r="S23" s="3">
        <v>3</v>
      </c>
      <c r="T23" s="3">
        <v>44</v>
      </c>
      <c r="U23" s="3" t="s">
        <v>190</v>
      </c>
      <c r="V23" s="3" t="s">
        <v>121</v>
      </c>
      <c r="W23" s="3" t="str">
        <f>"^(?![_-])([a-z"&amp; IF(Table1[[#This Row],[Casing]]="Insensitive","A-Z","")&amp;"0-9"&amp; Table1[[#This Row],[special chars]]&amp;"]{"&amp;Table1[[#This Row],[Character min]]&amp;","&amp;Table1[[#This Row],[Character Limit]]-1&amp;"})([^_-]$)"</f>
        <v>^(?![_-])([a-z0-9-]{3,43})([^_-]$)</v>
      </c>
      <c r="Y23" s="3" t="b">
        <f>matches(Z23,Table1[[#This Row],[Validation Expression]])</f>
        <v>1</v>
      </c>
      <c r="Z23" s="3" t="s">
        <v>191</v>
      </c>
    </row>
    <row r="24" spans="1:26" x14ac:dyDescent="0.2">
      <c r="A24" s="3" t="s">
        <v>192</v>
      </c>
      <c r="B24" s="3" t="s">
        <v>193</v>
      </c>
      <c r="C24" s="3" t="s">
        <v>100</v>
      </c>
      <c r="D24" s="3" t="str">
        <f t="shared" si="0"/>
        <v>aue</v>
      </c>
      <c r="E24" s="3">
        <v>144</v>
      </c>
      <c r="F24" s="3">
        <v>0</v>
      </c>
      <c r="G24" s="4" t="str">
        <f t="shared" si="1"/>
        <v>90</v>
      </c>
      <c r="N24" s="3" t="s">
        <v>194</v>
      </c>
      <c r="O24" s="3" t="s">
        <v>195</v>
      </c>
      <c r="P24" s="3" t="s">
        <v>195</v>
      </c>
      <c r="Q24" s="3" t="s">
        <v>57</v>
      </c>
      <c r="S24" s="3">
        <v>1</v>
      </c>
      <c r="T24" s="3">
        <v>63</v>
      </c>
      <c r="U24" s="3" t="s">
        <v>105</v>
      </c>
      <c r="V24" s="3" t="s">
        <v>106</v>
      </c>
      <c r="W24" s="3" t="str">
        <f>"^(?![_-])([a-z"&amp; IF(Table1[[#This Row],[Casing]]="Insensitive","A-Z","")&amp;"0-9"&amp; Table1[[#This Row],[special chars]]&amp;"]{"&amp;Table1[[#This Row],[Character min]]&amp;","&amp;Table1[[#This Row],[Character Limit]]-1&amp;"})([^_-]$)"</f>
        <v>^(?![_-])([a-zA-Z0-9_-]{1,62})([^_-]$)</v>
      </c>
      <c r="Y24" s="3" t="b">
        <f>matches(Z24,Table1[[#This Row],[Validation Expression]])</f>
        <v>0</v>
      </c>
    </row>
    <row r="25" spans="1:26" x14ac:dyDescent="0.2">
      <c r="A25" s="3" t="s">
        <v>196</v>
      </c>
      <c r="B25" s="3" t="s">
        <v>193</v>
      </c>
      <c r="C25" s="3" t="s">
        <v>184</v>
      </c>
      <c r="D25" s="3" t="str">
        <f t="shared" si="0"/>
        <v>ause</v>
      </c>
      <c r="E25" s="3">
        <v>144</v>
      </c>
      <c r="F25" s="3">
        <v>4</v>
      </c>
      <c r="G25" s="4" t="str">
        <f t="shared" si="1"/>
        <v>94</v>
      </c>
      <c r="N25" s="3" t="s">
        <v>72</v>
      </c>
      <c r="O25" s="3" t="s">
        <v>197</v>
      </c>
      <c r="P25" s="3" t="s">
        <v>197</v>
      </c>
      <c r="Q25" s="3" t="s">
        <v>114</v>
      </c>
      <c r="R25" s="3" t="s">
        <v>147</v>
      </c>
      <c r="S25" s="3">
        <v>3</v>
      </c>
      <c r="T25" s="3">
        <v>63</v>
      </c>
      <c r="U25" s="3" t="s">
        <v>105</v>
      </c>
      <c r="V25" s="3" t="s">
        <v>106</v>
      </c>
      <c r="W25" s="3" t="str">
        <f>"^(?![_-])([a-z"&amp; IF(Table1[[#This Row],[Casing]]="Insensitive","A-Z","")&amp;"0-9"&amp; Table1[[#This Row],[special chars]]&amp;"]{"&amp;Table1[[#This Row],[Character min]]&amp;","&amp;Table1[[#This Row],[Character Limit]]-1&amp;"})([^_-]$)"</f>
        <v>^(?![_-])([a-zA-Z0-9_-]{3,62})([^_-]$)</v>
      </c>
      <c r="Y25" s="3" t="b">
        <f>matches(Z25,Table1[[#This Row],[Validation Expression]])</f>
        <v>0</v>
      </c>
    </row>
    <row r="26" spans="1:26" x14ac:dyDescent="0.2">
      <c r="A26" s="3" t="s">
        <v>198</v>
      </c>
      <c r="B26" s="3" t="s">
        <v>123</v>
      </c>
      <c r="C26" s="3" t="s">
        <v>100</v>
      </c>
      <c r="D26" s="3" t="str">
        <f t="shared" si="0"/>
        <v>cne</v>
      </c>
      <c r="E26" s="3">
        <v>160</v>
      </c>
      <c r="F26" s="3">
        <v>0</v>
      </c>
      <c r="G26" s="4" t="str">
        <f t="shared" si="1"/>
        <v>A0</v>
      </c>
      <c r="N26" s="3" t="s">
        <v>75</v>
      </c>
      <c r="O26" s="3" t="s">
        <v>199</v>
      </c>
      <c r="P26" s="3" t="s">
        <v>199</v>
      </c>
      <c r="Q26" s="3" t="s">
        <v>57</v>
      </c>
      <c r="R26" s="3" t="s">
        <v>147</v>
      </c>
      <c r="S26" s="3">
        <v>3</v>
      </c>
      <c r="T26" s="3">
        <v>30</v>
      </c>
      <c r="U26" s="3" t="s">
        <v>105</v>
      </c>
      <c r="V26" s="3" t="s">
        <v>106</v>
      </c>
      <c r="W26" s="3" t="str">
        <f>"^(?![_-])([a-z"&amp; IF(Table1[[#This Row],[Casing]]="Insensitive","A-Z","")&amp;"0-9"&amp; Table1[[#This Row],[special chars]]&amp;"]{"&amp;Table1[[#This Row],[Character min]]&amp;","&amp;Table1[[#This Row],[Character Limit]]-1&amp;"})([^_-]$)"</f>
        <v>^(?![_-])([a-zA-Z0-9_-]{3,29})([^_-]$)</v>
      </c>
      <c r="Y26" s="3" t="b">
        <f>matches(Z26,Table1[[#This Row],[Validation Expression]])</f>
        <v>0</v>
      </c>
    </row>
    <row r="27" spans="1:26" x14ac:dyDescent="0.2">
      <c r="A27" s="3" t="s">
        <v>200</v>
      </c>
      <c r="B27" s="3" t="s">
        <v>123</v>
      </c>
      <c r="C27" s="3" t="s">
        <v>157</v>
      </c>
      <c r="D27" s="3" t="str">
        <f t="shared" si="0"/>
        <v>cnn</v>
      </c>
      <c r="E27" s="3">
        <v>160</v>
      </c>
      <c r="F27" s="3">
        <v>4</v>
      </c>
      <c r="G27" s="4" t="str">
        <f t="shared" si="1"/>
        <v>A4</v>
      </c>
      <c r="N27" s="3" t="s">
        <v>201</v>
      </c>
      <c r="O27" s="3" t="s">
        <v>202</v>
      </c>
      <c r="P27" s="3" t="s">
        <v>202</v>
      </c>
      <c r="Q27" s="3" t="s">
        <v>57</v>
      </c>
      <c r="S27" s="3">
        <v>1</v>
      </c>
      <c r="T27" s="3">
        <v>80</v>
      </c>
      <c r="U27" s="3" t="s">
        <v>105</v>
      </c>
      <c r="V27" s="3" t="s">
        <v>148</v>
      </c>
      <c r="W27" s="3" t="str">
        <f>"^(?![_-])([a-z"&amp; IF(Table1[[#This Row],[Casing]]="Insensitive","A-Z","")&amp;"0-9"&amp; Table1[[#This Row],[special chars]]&amp;"]{"&amp;Table1[[#This Row],[Character min]]&amp;","&amp;Table1[[#This Row],[Character Limit]]-1&amp;"})([^_-]$)"</f>
        <v>^(?![_-])([a-zA-Z0-9_\.-]{1,79})([^_-]$)</v>
      </c>
      <c r="Y27" s="3" t="b">
        <f>matches(Z27,Table1[[#This Row],[Validation Expression]])</f>
        <v>0</v>
      </c>
    </row>
    <row r="28" spans="1:26" x14ac:dyDescent="0.2">
      <c r="A28" s="3" t="s">
        <v>203</v>
      </c>
      <c r="B28" s="3" t="s">
        <v>204</v>
      </c>
      <c r="C28" s="3" t="s">
        <v>116</v>
      </c>
      <c r="D28" s="3" t="str">
        <f t="shared" si="0"/>
        <v>inc</v>
      </c>
      <c r="E28" s="3">
        <v>176</v>
      </c>
      <c r="F28" s="3">
        <v>0</v>
      </c>
      <c r="G28" s="4" t="str">
        <f t="shared" si="1"/>
        <v>B0</v>
      </c>
      <c r="N28" s="3" t="s">
        <v>205</v>
      </c>
      <c r="O28" s="3" t="s">
        <v>206</v>
      </c>
      <c r="P28" s="3" t="s">
        <v>206</v>
      </c>
      <c r="Q28" s="3" t="s">
        <v>57</v>
      </c>
      <c r="S28" s="3">
        <v>1</v>
      </c>
      <c r="T28" s="3">
        <v>260</v>
      </c>
      <c r="U28" s="3" t="s">
        <v>105</v>
      </c>
      <c r="V28" s="3" t="s">
        <v>106</v>
      </c>
      <c r="W28" s="3" t="str">
        <f>"^(?![_-])([a-z"&amp; IF(Table1[[#This Row],[Casing]]="Insensitive","A-Z","")&amp;"0-9"&amp; Table1[[#This Row],[special chars]]&amp;"]{"&amp;Table1[[#This Row],[Character min]]&amp;","&amp;Table1[[#This Row],[Character Limit]]-1&amp;"})([^_-]$)"</f>
        <v>^(?![_-])([a-zA-Z0-9_-]{1,259})([^_-]$)</v>
      </c>
      <c r="Y28" s="3" t="b">
        <f>matches(Z28,Table1[[#This Row],[Validation Expression]])</f>
        <v>0</v>
      </c>
    </row>
    <row r="29" spans="1:26" x14ac:dyDescent="0.2">
      <c r="A29" s="3" t="s">
        <v>207</v>
      </c>
      <c r="B29" s="3" t="s">
        <v>204</v>
      </c>
      <c r="C29" s="3" t="s">
        <v>137</v>
      </c>
      <c r="D29" s="3" t="str">
        <f t="shared" si="0"/>
        <v>inw</v>
      </c>
      <c r="E29" s="3">
        <v>176</v>
      </c>
      <c r="F29" s="3">
        <v>4</v>
      </c>
      <c r="G29" s="4" t="str">
        <f t="shared" si="1"/>
        <v>B4</v>
      </c>
      <c r="N29" s="3" t="s">
        <v>208</v>
      </c>
      <c r="O29" s="3" t="s">
        <v>209</v>
      </c>
      <c r="P29" s="3" t="s">
        <v>209</v>
      </c>
      <c r="Q29" s="3" t="s">
        <v>57</v>
      </c>
      <c r="S29" s="3">
        <v>1</v>
      </c>
      <c r="T29" s="3">
        <v>63</v>
      </c>
      <c r="U29" s="3" t="s">
        <v>105</v>
      </c>
      <c r="V29" s="3" t="s">
        <v>106</v>
      </c>
      <c r="W29" s="3" t="str">
        <f>"^(?![_-])([a-z"&amp; IF(Table1[[#This Row],[Casing]]="Insensitive","A-Z","")&amp;"0-9"&amp; Table1[[#This Row],[special chars]]&amp;"]{"&amp;Table1[[#This Row],[Character min]]&amp;","&amp;Table1[[#This Row],[Character Limit]]-1&amp;"})([^_-]$)"</f>
        <v>^(?![_-])([a-zA-Z0-9_-]{1,62})([^_-]$)</v>
      </c>
      <c r="Y29" s="3" t="b">
        <f>matches(Z29,Table1[[#This Row],[Validation Expression]])</f>
        <v>0</v>
      </c>
    </row>
    <row r="30" spans="1:26" x14ac:dyDescent="0.2">
      <c r="A30" s="3" t="s">
        <v>210</v>
      </c>
      <c r="B30" s="3" t="s">
        <v>204</v>
      </c>
      <c r="C30" s="3" t="s">
        <v>125</v>
      </c>
      <c r="D30" s="3" t="str">
        <f t="shared" si="0"/>
        <v>ins</v>
      </c>
      <c r="E30" s="3">
        <v>176</v>
      </c>
      <c r="F30" s="3">
        <v>8</v>
      </c>
      <c r="G30" s="4" t="str">
        <f t="shared" si="1"/>
        <v>B8</v>
      </c>
      <c r="N30" s="3" t="s">
        <v>211</v>
      </c>
      <c r="O30" s="3" t="s">
        <v>212</v>
      </c>
      <c r="P30" s="3" t="s">
        <v>212</v>
      </c>
      <c r="Q30" s="3" t="s">
        <v>57</v>
      </c>
      <c r="S30" s="3">
        <v>1</v>
      </c>
      <c r="T30" s="3">
        <v>63</v>
      </c>
      <c r="U30" s="3" t="s">
        <v>105</v>
      </c>
      <c r="V30" s="3" t="s">
        <v>106</v>
      </c>
      <c r="W30" s="3" t="str">
        <f>"^(?![_-])([a-z"&amp; IF(Table1[[#This Row],[Casing]]="Insensitive","A-Z","")&amp;"0-9"&amp; Table1[[#This Row],[special chars]]&amp;"]{"&amp;Table1[[#This Row],[Character min]]&amp;","&amp;Table1[[#This Row],[Character Limit]]-1&amp;"})([^_-]$)"</f>
        <v>^(?![_-])([a-zA-Z0-9_-]{1,62})([^_-]$)</v>
      </c>
      <c r="Y30" s="3" t="b">
        <f>matches(Z30,Table1[[#This Row],[Validation Expression]])</f>
        <v>0</v>
      </c>
    </row>
    <row r="31" spans="1:26" x14ac:dyDescent="0.2">
      <c r="A31" s="3" t="s">
        <v>213</v>
      </c>
      <c r="B31" s="3" t="s">
        <v>214</v>
      </c>
      <c r="C31" s="3" t="s">
        <v>100</v>
      </c>
      <c r="D31" s="3" t="str">
        <f t="shared" si="0"/>
        <v>jpe</v>
      </c>
      <c r="E31" s="3">
        <v>192</v>
      </c>
      <c r="F31" s="3">
        <v>0</v>
      </c>
      <c r="G31" s="4" t="str">
        <f t="shared" si="1"/>
        <v>C0</v>
      </c>
      <c r="N31" s="3" t="s">
        <v>215</v>
      </c>
      <c r="O31" s="3" t="s">
        <v>216</v>
      </c>
      <c r="P31" s="3" t="s">
        <v>216</v>
      </c>
      <c r="Q31" s="3" t="s">
        <v>57</v>
      </c>
      <c r="S31" s="3">
        <v>1</v>
      </c>
      <c r="T31" s="3">
        <v>63</v>
      </c>
      <c r="U31" s="3" t="s">
        <v>105</v>
      </c>
      <c r="V31" s="3" t="s">
        <v>106</v>
      </c>
      <c r="W31" s="3" t="str">
        <f>"^(?![_-])([a-z"&amp; IF(Table1[[#This Row],[Casing]]="Insensitive","A-Z","")&amp;"0-9"&amp; Table1[[#This Row],[special chars]]&amp;"]{"&amp;Table1[[#This Row],[Character min]]&amp;","&amp;Table1[[#This Row],[Character Limit]]-1&amp;"})([^_-]$)"</f>
        <v>^(?![_-])([a-zA-Z0-9_-]{1,62})([^_-]$)</v>
      </c>
      <c r="Y31" s="3" t="b">
        <f>matches(Z31,Table1[[#This Row],[Validation Expression]])</f>
        <v>0</v>
      </c>
    </row>
    <row r="32" spans="1:26" x14ac:dyDescent="0.2">
      <c r="A32" s="3" t="s">
        <v>217</v>
      </c>
      <c r="B32" s="3" t="s">
        <v>214</v>
      </c>
      <c r="C32" s="3" t="s">
        <v>137</v>
      </c>
      <c r="D32" s="3" t="str">
        <f t="shared" si="0"/>
        <v>jpw</v>
      </c>
      <c r="E32" s="3">
        <v>192</v>
      </c>
      <c r="F32" s="3">
        <v>4</v>
      </c>
      <c r="G32" s="4" t="str">
        <f t="shared" si="1"/>
        <v>C4</v>
      </c>
      <c r="N32" s="3" t="s">
        <v>218</v>
      </c>
      <c r="O32" s="3" t="s">
        <v>179</v>
      </c>
      <c r="P32" s="3" t="s">
        <v>219</v>
      </c>
      <c r="Q32" s="3" t="s">
        <v>114</v>
      </c>
      <c r="S32" s="3">
        <v>1</v>
      </c>
      <c r="T32" s="3">
        <v>60</v>
      </c>
      <c r="U32" s="3" t="s">
        <v>105</v>
      </c>
      <c r="V32" s="3" t="s">
        <v>106</v>
      </c>
      <c r="W32" s="3" t="str">
        <f>"^(?![_-])([a-z"&amp; IF(Table1[[#This Row],[Casing]]="Insensitive","A-Z","")&amp;"0-9"&amp; Table1[[#This Row],[special chars]]&amp;"]{"&amp;Table1[[#This Row],[Character min]]&amp;","&amp;Table1[[#This Row],[Character Limit]]-1&amp;"})([^_-]$)"</f>
        <v>^(?![_-])([a-zA-Z0-9_-]{1,59})([^_-]$)</v>
      </c>
      <c r="Y32" s="3" t="b">
        <f>matches(Z32,Table1[[#This Row],[Validation Expression]])</f>
        <v>0</v>
      </c>
    </row>
    <row r="33" spans="1:25" x14ac:dyDescent="0.2">
      <c r="A33" s="3" t="s">
        <v>220</v>
      </c>
      <c r="B33" s="3" t="s">
        <v>221</v>
      </c>
      <c r="C33" s="3" t="s">
        <v>116</v>
      </c>
      <c r="D33" s="3" t="str">
        <f t="shared" si="0"/>
        <v>krc</v>
      </c>
      <c r="E33" s="3">
        <v>208</v>
      </c>
      <c r="F33" s="3">
        <v>0</v>
      </c>
      <c r="G33" s="4" t="str">
        <f t="shared" si="1"/>
        <v>D0</v>
      </c>
      <c r="N33" s="3" t="s">
        <v>222</v>
      </c>
      <c r="O33" s="3" t="s">
        <v>223</v>
      </c>
      <c r="P33" s="3" t="s">
        <v>223</v>
      </c>
      <c r="Q33" s="3" t="s">
        <v>57</v>
      </c>
      <c r="S33" s="3">
        <v>1</v>
      </c>
      <c r="T33" s="3">
        <v>63</v>
      </c>
      <c r="U33" s="3" t="s">
        <v>105</v>
      </c>
      <c r="V33" s="3" t="s">
        <v>106</v>
      </c>
      <c r="W33" s="3" t="str">
        <f>"^(?![_-])([a-z"&amp; IF(Table1[[#This Row],[Casing]]="Insensitive","A-Z","")&amp;"0-9"&amp; Table1[[#This Row],[special chars]]&amp;"]{"&amp;Table1[[#This Row],[Character min]]&amp;","&amp;Table1[[#This Row],[Character Limit]]-1&amp;"})([^_-]$)"</f>
        <v>^(?![_-])([a-zA-Z0-9_-]{1,62})([^_-]$)</v>
      </c>
      <c r="Y33" s="3" t="b">
        <f>matches(Z33,Table1[[#This Row],[Validation Expression]])</f>
        <v>0</v>
      </c>
    </row>
    <row r="34" spans="1:25" x14ac:dyDescent="0.2">
      <c r="A34" s="3" t="s">
        <v>224</v>
      </c>
      <c r="B34" s="3" t="s">
        <v>221</v>
      </c>
      <c r="C34" s="3" t="s">
        <v>125</v>
      </c>
      <c r="D34" s="3" t="str">
        <f t="shared" si="0"/>
        <v>krs</v>
      </c>
      <c r="E34" s="3">
        <v>208</v>
      </c>
      <c r="F34" s="3">
        <v>4</v>
      </c>
      <c r="G34" s="4" t="str">
        <f t="shared" si="1"/>
        <v>D4</v>
      </c>
      <c r="N34" s="3" t="s">
        <v>61</v>
      </c>
      <c r="O34" s="3" t="s">
        <v>225</v>
      </c>
      <c r="P34" s="3" t="s">
        <v>225</v>
      </c>
      <c r="Q34" s="3" t="s">
        <v>57</v>
      </c>
      <c r="R34" s="3" t="s">
        <v>147</v>
      </c>
      <c r="S34" s="3">
        <v>1</v>
      </c>
      <c r="T34" s="3">
        <v>128</v>
      </c>
      <c r="U34" s="3" t="s">
        <v>105</v>
      </c>
      <c r="V34" s="3" t="s">
        <v>148</v>
      </c>
      <c r="W34" s="3" t="str">
        <f>"^(?![_-])([a-z"&amp; IF(Table1[[#This Row],[Casing]]="Insensitive","A-Z","")&amp;"0-9"&amp; Table1[[#This Row],[special chars]]&amp;"]{"&amp;Table1[[#This Row],[Character min]]&amp;","&amp;Table1[[#This Row],[Character Limit]]-1&amp;"})([^_-]$)"</f>
        <v>^(?![_-])([a-zA-Z0-9_\.-]{1,127})([^_-]$)</v>
      </c>
      <c r="Y34" s="3" t="b">
        <f>matches(Z34,Table1[[#This Row],[Validation Expression]])</f>
        <v>0</v>
      </c>
    </row>
    <row r="35" spans="1:25" x14ac:dyDescent="0.2">
      <c r="N35" s="3" t="s">
        <v>66</v>
      </c>
      <c r="O35" s="3" t="s">
        <v>226</v>
      </c>
      <c r="P35" s="3" t="s">
        <v>226</v>
      </c>
      <c r="Q35" s="3" t="s">
        <v>114</v>
      </c>
      <c r="R35" s="3" t="s">
        <v>147</v>
      </c>
      <c r="S35" s="3">
        <v>1</v>
      </c>
      <c r="T35" s="3">
        <v>63</v>
      </c>
      <c r="U35" s="3" t="s">
        <v>190</v>
      </c>
      <c r="V35" s="21" t="s">
        <v>121</v>
      </c>
      <c r="W35" s="3" t="str">
        <f>"^(?![_-])([a-z"&amp; IF(Table1[[#This Row],[Casing]]="Insensitive","A-Z","")&amp;"0-9"&amp; Table1[[#This Row],[special chars]]&amp;"]{"&amp;Table1[[#This Row],[Character min]]&amp;","&amp;Table1[[#This Row],[Character Limit]]-1&amp;"})([^_-]$)"</f>
        <v>^(?![_-])([a-z0-9-]{1,62})([^_-]$)</v>
      </c>
      <c r="Y35" s="3" t="b">
        <f>matches(Z35,Table1[[#This Row],[Validation Expression]])</f>
        <v>0</v>
      </c>
    </row>
    <row r="36" spans="1:25" x14ac:dyDescent="0.2">
      <c r="N36" s="3" t="s">
        <v>227</v>
      </c>
      <c r="O36" s="3" t="s">
        <v>228</v>
      </c>
      <c r="P36" s="3" t="s">
        <v>228</v>
      </c>
      <c r="Q36" s="3" t="s">
        <v>57</v>
      </c>
      <c r="S36" s="3">
        <v>1</v>
      </c>
      <c r="T36" s="3">
        <v>63</v>
      </c>
      <c r="U36" s="3" t="s">
        <v>105</v>
      </c>
      <c r="V36" s="3" t="s">
        <v>106</v>
      </c>
      <c r="W36" s="3" t="str">
        <f>"^(?![_-])([a-z"&amp; IF(Table1[[#This Row],[Casing]]="Insensitive","A-Z","")&amp;"0-9"&amp; Table1[[#This Row],[special chars]]&amp;"]{"&amp;Table1[[#This Row],[Character min]]&amp;","&amp;Table1[[#This Row],[Character Limit]]-1&amp;"})([^_-]$)"</f>
        <v>^(?![_-])([a-zA-Z0-9_-]{1,62})([^_-]$)</v>
      </c>
      <c r="Y36" s="3" t="b">
        <f>matches(Z36,Table1[[#This Row],[Validation Expression]])</f>
        <v>0</v>
      </c>
    </row>
    <row r="37" spans="1:25" x14ac:dyDescent="0.2">
      <c r="N37" s="3" t="s">
        <v>229</v>
      </c>
      <c r="O37" s="3" t="s">
        <v>230</v>
      </c>
      <c r="P37" s="3" t="s">
        <v>230</v>
      </c>
      <c r="Q37" s="3" t="s">
        <v>57</v>
      </c>
      <c r="R37" s="3" t="s">
        <v>147</v>
      </c>
      <c r="S37" s="3">
        <v>2</v>
      </c>
      <c r="T37" s="3">
        <v>50</v>
      </c>
      <c r="U37" s="3" t="s">
        <v>105</v>
      </c>
      <c r="V37" s="21" t="s">
        <v>121</v>
      </c>
      <c r="W37" s="3" t="str">
        <f>"^(?![_-])([a-z"&amp; IF(Table1[[#This Row],[Casing]]="Insensitive","A-Z","")&amp;"0-9"&amp; Table1[[#This Row],[special chars]]&amp;"]{"&amp;Table1[[#This Row],[Character min]]&amp;","&amp;Table1[[#This Row],[Character Limit]]-1&amp;"})([^_-]$)"</f>
        <v>^(?![_-])([a-zA-Z0-9-]{2,49})([^_-]$)</v>
      </c>
      <c r="Y37" s="3" t="b">
        <f>matches(Z37,Table1[[#This Row],[Validation Expression]])</f>
        <v>0</v>
      </c>
    </row>
    <row r="38" spans="1:25" x14ac:dyDescent="0.2">
      <c r="N38" s="3" t="s">
        <v>231</v>
      </c>
      <c r="O38" s="3" t="s">
        <v>232</v>
      </c>
      <c r="P38" s="3" t="s">
        <v>232</v>
      </c>
      <c r="Q38" s="3" t="s">
        <v>57</v>
      </c>
      <c r="R38" s="3" t="s">
        <v>147</v>
      </c>
      <c r="S38" s="3">
        <v>3</v>
      </c>
      <c r="T38" s="3">
        <v>63</v>
      </c>
      <c r="U38" s="3" t="s">
        <v>105</v>
      </c>
      <c r="V38" s="3" t="s">
        <v>106</v>
      </c>
      <c r="W38" s="3" t="str">
        <f>"^(?![_-])([a-z"&amp; IF(Table1[[#This Row],[Casing]]="Insensitive","A-Z","")&amp;"0-9"&amp; Table1[[#This Row],[special chars]]&amp;"]{"&amp;Table1[[#This Row],[Character min]]&amp;","&amp;Table1[[#This Row],[Character Limit]]-1&amp;"})([^_-]$)"</f>
        <v>^(?![_-])([a-zA-Z0-9_-]{3,62})([^_-]$)</v>
      </c>
      <c r="Y38" s="3" t="b">
        <f>matches(Z38,Table1[[#This Row],[Validation Expression]])</f>
        <v>0</v>
      </c>
    </row>
    <row r="39" spans="1:25" x14ac:dyDescent="0.2">
      <c r="N39" s="3" t="s">
        <v>74</v>
      </c>
      <c r="O39" s="3" t="s">
        <v>233</v>
      </c>
      <c r="P39" s="3" t="s">
        <v>233</v>
      </c>
      <c r="Q39" s="3" t="s">
        <v>57</v>
      </c>
      <c r="S39" s="3">
        <v>1</v>
      </c>
      <c r="T39" s="3">
        <v>63</v>
      </c>
      <c r="U39" s="3" t="s">
        <v>105</v>
      </c>
      <c r="V39" s="3" t="s">
        <v>106</v>
      </c>
      <c r="W39" s="3" t="str">
        <f>"^(?![_-])([a-z"&amp; IF(Table1[[#This Row],[Casing]]="Insensitive","A-Z","")&amp;"0-9"&amp; Table1[[#This Row],[special chars]]&amp;"]{"&amp;Table1[[#This Row],[Character min]]&amp;","&amp;Table1[[#This Row],[Character Limit]]-1&amp;"})([^_-]$)"</f>
        <v>^(?![_-])([a-zA-Z0-9_-]{1,62})([^_-]$)</v>
      </c>
      <c r="Y39" s="3" t="b">
        <f>matches(Z39,Table1[[#This Row],[Validation Expression]])</f>
        <v>0</v>
      </c>
    </row>
    <row r="40" spans="1:25" x14ac:dyDescent="0.2">
      <c r="N40" s="3" t="s">
        <v>234</v>
      </c>
      <c r="O40" s="3" t="s">
        <v>235</v>
      </c>
      <c r="P40" s="3" t="s">
        <v>235</v>
      </c>
      <c r="Q40" s="3" t="s">
        <v>57</v>
      </c>
      <c r="S40" s="3">
        <v>1</v>
      </c>
      <c r="T40" s="3">
        <v>63</v>
      </c>
      <c r="U40" s="3" t="s">
        <v>105</v>
      </c>
      <c r="V40" s="3" t="s">
        <v>106</v>
      </c>
      <c r="W40" s="3" t="str">
        <f>"^(?![_-])([a-z"&amp; IF(Table1[[#This Row],[Casing]]="Insensitive","A-Z","")&amp;"0-9"&amp; Table1[[#This Row],[special chars]]&amp;"]{"&amp;Table1[[#This Row],[Character min]]&amp;","&amp;Table1[[#This Row],[Character Limit]]-1&amp;"})([^_-]$)"</f>
        <v>^(?![_-])([a-zA-Z0-9_-]{1,62})([^_-]$)</v>
      </c>
      <c r="Y40" s="3" t="b">
        <f>matches(Z40,Table1[[#This Row],[Validation Expression]])</f>
        <v>0</v>
      </c>
    </row>
    <row r="41" spans="1:25" x14ac:dyDescent="0.2">
      <c r="N41" s="3" t="s">
        <v>236</v>
      </c>
      <c r="O41" s="3" t="s">
        <v>237</v>
      </c>
      <c r="P41" s="3" t="s">
        <v>237</v>
      </c>
      <c r="Q41" s="3" t="s">
        <v>57</v>
      </c>
      <c r="S41" s="3">
        <v>1</v>
      </c>
      <c r="T41" s="3">
        <v>63</v>
      </c>
      <c r="U41" s="3" t="s">
        <v>105</v>
      </c>
      <c r="V41" s="3" t="s">
        <v>106</v>
      </c>
      <c r="W41" s="3" t="str">
        <f>"^(?![_-])([a-z"&amp; IF(Table1[[#This Row],[Casing]]="Insensitive","A-Z","")&amp;"0-9"&amp; Table1[[#This Row],[special chars]]&amp;"]{"&amp;Table1[[#This Row],[Character min]]&amp;","&amp;Table1[[#This Row],[Character Limit]]-1&amp;"})([^_-]$)"</f>
        <v>^(?![_-])([a-zA-Z0-9_-]{1,62})([^_-]$)</v>
      </c>
      <c r="Y41" s="3" t="b">
        <f>matches(Z41,Table1[[#This Row],[Validation Expression]])</f>
        <v>0</v>
      </c>
    </row>
    <row r="42" spans="1:25" x14ac:dyDescent="0.2">
      <c r="N42" s="3" t="s">
        <v>238</v>
      </c>
      <c r="O42" s="3" t="s">
        <v>239</v>
      </c>
      <c r="P42" s="3" t="s">
        <v>239</v>
      </c>
      <c r="Q42" s="3" t="s">
        <v>57</v>
      </c>
      <c r="S42" s="3">
        <v>1</v>
      </c>
      <c r="T42" s="3">
        <v>50</v>
      </c>
      <c r="U42" s="3" t="s">
        <v>105</v>
      </c>
      <c r="V42" s="3" t="s">
        <v>106</v>
      </c>
      <c r="W42" s="3" t="str">
        <f>"^(?![_-])([a-z"&amp; IF(Table1[[#This Row],[Casing]]="Insensitive","A-Z","")&amp;"0-9"&amp; Table1[[#This Row],[special chars]]&amp;"]{"&amp;Table1[[#This Row],[Character min]]&amp;","&amp;Table1[[#This Row],[Character Limit]]-1&amp;"})([^_-]$)"</f>
        <v>^(?![_-])([a-zA-Z0-9_-]{1,49})([^_-]$)</v>
      </c>
      <c r="Y42" s="3" t="b">
        <f>matches(Z42,Table1[[#This Row],[Validation Expression]])</f>
        <v>0</v>
      </c>
    </row>
    <row r="43" spans="1:25" x14ac:dyDescent="0.2">
      <c r="N43" s="3" t="s">
        <v>240</v>
      </c>
      <c r="O43" s="3" t="s">
        <v>241</v>
      </c>
      <c r="P43" s="3" t="s">
        <v>241</v>
      </c>
      <c r="Q43" s="3" t="s">
        <v>114</v>
      </c>
      <c r="S43" s="3">
        <v>1</v>
      </c>
      <c r="T43" s="3">
        <v>260</v>
      </c>
      <c r="U43" s="3" t="s">
        <v>105</v>
      </c>
      <c r="V43" s="3" t="s">
        <v>106</v>
      </c>
      <c r="W43" s="3" t="str">
        <f>"^(?![_-])([a-z"&amp; IF(Table1[[#This Row],[Casing]]="Insensitive","A-Z","")&amp;"0-9"&amp; Table1[[#This Row],[special chars]]&amp;"]{"&amp;Table1[[#This Row],[Character min]]&amp;","&amp;Table1[[#This Row],[Character Limit]]-1&amp;"})([^_-]$)"</f>
        <v>^(?![_-])([a-zA-Z0-9_-]{1,259})([^_-]$)</v>
      </c>
      <c r="Y43" s="3" t="b">
        <f>matches(Z43,Table1[[#This Row],[Validation Expression]])</f>
        <v>0</v>
      </c>
    </row>
    <row r="44" spans="1:25" x14ac:dyDescent="0.2">
      <c r="N44" s="3" t="s">
        <v>242</v>
      </c>
      <c r="O44" s="3" t="s">
        <v>243</v>
      </c>
      <c r="P44" s="3" t="s">
        <v>243</v>
      </c>
      <c r="Q44" s="3" t="s">
        <v>57</v>
      </c>
      <c r="S44" s="3">
        <v>1</v>
      </c>
      <c r="T44" s="3">
        <v>63</v>
      </c>
      <c r="U44" s="3" t="s">
        <v>105</v>
      </c>
      <c r="V44" s="3" t="s">
        <v>106</v>
      </c>
      <c r="W44" s="3" t="str">
        <f>"^(?![_-])([a-z"&amp; IF(Table1[[#This Row],[Casing]]="Insensitive","A-Z","")&amp;"0-9"&amp; Table1[[#This Row],[special chars]]&amp;"]{"&amp;Table1[[#This Row],[Character min]]&amp;","&amp;Table1[[#This Row],[Character Limit]]-1&amp;"})([^_-]$)"</f>
        <v>^(?![_-])([a-zA-Z0-9_-]{1,62})([^_-]$)</v>
      </c>
      <c r="Y44" s="3" t="b">
        <f>matches(Z44,Table1[[#This Row],[Validation Expression]])</f>
        <v>0</v>
      </c>
    </row>
    <row r="45" spans="1:25" x14ac:dyDescent="0.2">
      <c r="N45" s="3" t="s">
        <v>244</v>
      </c>
      <c r="O45" s="3" t="s">
        <v>245</v>
      </c>
      <c r="P45" s="3" t="s">
        <v>245</v>
      </c>
      <c r="Q45" s="3" t="s">
        <v>57</v>
      </c>
      <c r="S45" s="3">
        <v>1</v>
      </c>
      <c r="T45" s="3">
        <v>63</v>
      </c>
      <c r="U45" s="3" t="s">
        <v>105</v>
      </c>
      <c r="V45" s="3" t="s">
        <v>106</v>
      </c>
      <c r="W45" s="3" t="str">
        <f>"^(?![_-])([a-z"&amp; IF(Table1[[#This Row],[Casing]]="Insensitive","A-Z","")&amp;"0-9"&amp; Table1[[#This Row],[special chars]]&amp;"]{"&amp;Table1[[#This Row],[Character min]]&amp;","&amp;Table1[[#This Row],[Character Limit]]-1&amp;"})([^_-]$)"</f>
        <v>^(?![_-])([a-zA-Z0-9_-]{1,62})([^_-]$)</v>
      </c>
      <c r="Y45" s="3" t="b">
        <f>matches(Z45,Table1[[#This Row],[Validation Expression]])</f>
        <v>0</v>
      </c>
    </row>
    <row r="46" spans="1:25" x14ac:dyDescent="0.2">
      <c r="N46" s="3" t="s">
        <v>246</v>
      </c>
      <c r="O46" s="3" t="s">
        <v>247</v>
      </c>
      <c r="P46" s="3" t="s">
        <v>247</v>
      </c>
      <c r="Q46" s="3" t="s">
        <v>57</v>
      </c>
      <c r="S46" s="3">
        <v>1</v>
      </c>
      <c r="T46" s="3">
        <v>63</v>
      </c>
      <c r="U46" s="3" t="s">
        <v>105</v>
      </c>
      <c r="V46" s="3" t="s">
        <v>106</v>
      </c>
      <c r="W46" s="3" t="str">
        <f>"^(?![_-])([a-z"&amp; IF(Table1[[#This Row],[Casing]]="Insensitive","A-Z","")&amp;"0-9"&amp; Table1[[#This Row],[special chars]]&amp;"]{"&amp;Table1[[#This Row],[Character min]]&amp;","&amp;Table1[[#This Row],[Character Limit]]-1&amp;"})([^_-]$)"</f>
        <v>^(?![_-])([a-zA-Z0-9_-]{1,62})([^_-]$)</v>
      </c>
      <c r="Y46" s="3" t="b">
        <f>matches(Z46,Table1[[#This Row],[Validation Expression]])</f>
        <v>0</v>
      </c>
    </row>
    <row r="47" spans="1:25" x14ac:dyDescent="0.2">
      <c r="N47" s="3" t="s">
        <v>248</v>
      </c>
      <c r="O47" s="3" t="s">
        <v>249</v>
      </c>
      <c r="P47" s="3" t="s">
        <v>249</v>
      </c>
      <c r="Q47" s="3" t="s">
        <v>57</v>
      </c>
      <c r="S47" s="3">
        <v>1</v>
      </c>
      <c r="T47" s="3">
        <v>63</v>
      </c>
      <c r="U47" s="3" t="s">
        <v>105</v>
      </c>
      <c r="V47" s="3" t="s">
        <v>106</v>
      </c>
      <c r="W47" s="3" t="str">
        <f>"^(?![_-])([a-z"&amp; IF(Table1[[#This Row],[Casing]]="Insensitive","A-Z","")&amp;"0-9"&amp; Table1[[#This Row],[special chars]]&amp;"]{"&amp;Table1[[#This Row],[Character min]]&amp;","&amp;Table1[[#This Row],[Character Limit]]-1&amp;"})([^_-]$)"</f>
        <v>^(?![_-])([a-zA-Z0-9_-]{1,62})([^_-]$)</v>
      </c>
      <c r="Y47" s="3" t="b">
        <f>matches(Z47,Table1[[#This Row],[Validation Expression]])</f>
        <v>0</v>
      </c>
    </row>
    <row r="48" spans="1:25" x14ac:dyDescent="0.2">
      <c r="N48" s="3" t="s">
        <v>250</v>
      </c>
      <c r="O48" s="3" t="s">
        <v>251</v>
      </c>
      <c r="P48" s="3" t="s">
        <v>251</v>
      </c>
      <c r="Q48" s="3" t="s">
        <v>57</v>
      </c>
      <c r="S48" s="3">
        <v>1</v>
      </c>
      <c r="T48" s="3">
        <v>63</v>
      </c>
      <c r="U48" s="3" t="s">
        <v>105</v>
      </c>
      <c r="V48" s="3" t="s">
        <v>106</v>
      </c>
      <c r="W48" s="3" t="str">
        <f>"^(?![_-])([a-z"&amp; IF(Table1[[#This Row],[Casing]]="Insensitive","A-Z","")&amp;"0-9"&amp; Table1[[#This Row],[special chars]]&amp;"]{"&amp;Table1[[#This Row],[Character min]]&amp;","&amp;Table1[[#This Row],[Character Limit]]-1&amp;"})([^_-]$)"</f>
        <v>^(?![_-])([a-zA-Z0-9_-]{1,62})([^_-]$)</v>
      </c>
      <c r="Y48" s="3" t="b">
        <f>matches(Z48,Table1[[#This Row],[Validation Expression]])</f>
        <v>0</v>
      </c>
    </row>
    <row r="49" spans="14:25" x14ac:dyDescent="0.2">
      <c r="N49" s="3" t="s">
        <v>252</v>
      </c>
      <c r="O49" s="3" t="s">
        <v>253</v>
      </c>
      <c r="P49" s="3" t="s">
        <v>253</v>
      </c>
      <c r="Q49" s="3" t="s">
        <v>57</v>
      </c>
      <c r="S49" s="3">
        <v>1</v>
      </c>
      <c r="T49" s="3">
        <v>63</v>
      </c>
      <c r="U49" s="3" t="s">
        <v>105</v>
      </c>
      <c r="V49" s="3" t="s">
        <v>106</v>
      </c>
      <c r="W49" s="3" t="str">
        <f>"^(?![_-])([a-z"&amp; IF(Table1[[#This Row],[Casing]]="Insensitive","A-Z","")&amp;"0-9"&amp; Table1[[#This Row],[special chars]]&amp;"]{"&amp;Table1[[#This Row],[Character min]]&amp;","&amp;Table1[[#This Row],[Character Limit]]-1&amp;"})([^_-]$)"</f>
        <v>^(?![_-])([a-zA-Z0-9_-]{1,62})([^_-]$)</v>
      </c>
      <c r="Y49" s="3" t="b">
        <f>matches(Z49,Table1[[#This Row],[Validation Expression]])</f>
        <v>0</v>
      </c>
    </row>
    <row r="50" spans="14:25" x14ac:dyDescent="0.2">
      <c r="N50" s="3" t="s">
        <v>254</v>
      </c>
      <c r="O50" s="3" t="s">
        <v>255</v>
      </c>
      <c r="P50" s="3" t="s">
        <v>255</v>
      </c>
      <c r="Q50" s="3" t="s">
        <v>57</v>
      </c>
      <c r="R50" s="3" t="s">
        <v>147</v>
      </c>
      <c r="S50" s="3">
        <v>3</v>
      </c>
      <c r="T50" s="3">
        <v>50</v>
      </c>
      <c r="U50" s="3" t="s">
        <v>105</v>
      </c>
      <c r="V50" s="3" t="s">
        <v>121</v>
      </c>
      <c r="W50" s="3" t="str">
        <f>"^(?![_-])([a-z"&amp; IF(Table1[[#This Row],[Casing]]="Insensitive","A-Z","")&amp;"0-9"&amp; Table1[[#This Row],[special chars]]&amp;"]{"&amp;Table1[[#This Row],[Character min]]&amp;","&amp;Table1[[#This Row],[Character Limit]]-1&amp;"})([^_-]$)"</f>
        <v>^(?![_-])([a-zA-Z0-9-]{3,49})([^_-]$)</v>
      </c>
      <c r="Y50" s="3" t="b">
        <f>matches(Z50,Table1[[#This Row],[Validation Expression]])</f>
        <v>0</v>
      </c>
    </row>
    <row r="51" spans="14:25" x14ac:dyDescent="0.2">
      <c r="N51" s="3" t="s">
        <v>256</v>
      </c>
      <c r="O51" s="3" t="s">
        <v>257</v>
      </c>
      <c r="P51" s="3" t="s">
        <v>257</v>
      </c>
      <c r="Q51" s="3" t="s">
        <v>57</v>
      </c>
      <c r="R51" s="3" t="s">
        <v>147</v>
      </c>
      <c r="S51" s="3">
        <v>3</v>
      </c>
      <c r="T51" s="3">
        <v>50</v>
      </c>
      <c r="U51" s="3" t="s">
        <v>105</v>
      </c>
      <c r="V51" s="3" t="s">
        <v>121</v>
      </c>
      <c r="W51" s="3" t="str">
        <f>"^(?![_-])([a-z"&amp; IF(Table1[[#This Row],[Casing]]="Insensitive","A-Z","")&amp;"0-9"&amp; Table1[[#This Row],[special chars]]&amp;"]{"&amp;Table1[[#This Row],[Character min]]&amp;","&amp;Table1[[#This Row],[Character Limit]]-1&amp;"})([^_-]$)"</f>
        <v>^(?![_-])([a-zA-Z0-9-]{3,49})([^_-]$)</v>
      </c>
      <c r="Y51" s="3" t="b">
        <f>matches(Z51,Table1[[#This Row],[Validation Expression]])</f>
        <v>0</v>
      </c>
    </row>
    <row r="52" spans="14:25" x14ac:dyDescent="0.2">
      <c r="N52" s="3" t="s">
        <v>258</v>
      </c>
      <c r="O52" s="3" t="s">
        <v>259</v>
      </c>
      <c r="P52" s="3" t="s">
        <v>259</v>
      </c>
      <c r="Q52" s="3" t="s">
        <v>57</v>
      </c>
      <c r="R52" s="3" t="s">
        <v>147</v>
      </c>
      <c r="S52" s="3">
        <v>6</v>
      </c>
      <c r="T52" s="3">
        <v>50</v>
      </c>
      <c r="U52" s="3" t="s">
        <v>105</v>
      </c>
      <c r="V52" s="3" t="s">
        <v>106</v>
      </c>
      <c r="W52" s="3" t="str">
        <f>"^(?![_-])([a-z"&amp; IF(Table1[[#This Row],[Casing]]="Insensitive","A-Z","")&amp;"0-9"&amp; Table1[[#This Row],[special chars]]&amp;"]{"&amp;Table1[[#This Row],[Character min]]&amp;","&amp;Table1[[#This Row],[Character Limit]]-1&amp;"})([^_-]$)"</f>
        <v>^(?![_-])([a-zA-Z0-9_-]{6,49})([^_-]$)</v>
      </c>
      <c r="Y52" s="3" t="b">
        <f>matches(Z52,Table1[[#This Row],[Validation Expression]])</f>
        <v>0</v>
      </c>
    </row>
    <row r="53" spans="14:25" x14ac:dyDescent="0.2">
      <c r="N53" s="3" t="s">
        <v>260</v>
      </c>
      <c r="O53" s="3" t="s">
        <v>261</v>
      </c>
      <c r="P53" s="3" t="s">
        <v>261</v>
      </c>
      <c r="Q53" s="3" t="s">
        <v>57</v>
      </c>
      <c r="R53" s="3" t="s">
        <v>147</v>
      </c>
      <c r="S53" s="3">
        <v>6</v>
      </c>
      <c r="T53" s="3">
        <v>50</v>
      </c>
      <c r="U53" s="3" t="s">
        <v>105</v>
      </c>
      <c r="V53" s="3" t="s">
        <v>106</v>
      </c>
      <c r="W53" s="3" t="str">
        <f>"^(?![_-])([a-z"&amp; IF(Table1[[#This Row],[Casing]]="Insensitive","A-Z","")&amp;"0-9"&amp; Table1[[#This Row],[special chars]]&amp;"]{"&amp;Table1[[#This Row],[Character min]]&amp;","&amp;Table1[[#This Row],[Character Limit]]-1&amp;"})([^_-]$)"</f>
        <v>^(?![_-])([a-zA-Z0-9_-]{6,49})([^_-]$)</v>
      </c>
      <c r="Y53" s="3" t="b">
        <f>matches(Z53,Table1[[#This Row],[Validation Expression]])</f>
        <v>0</v>
      </c>
    </row>
    <row r="54" spans="14:25" x14ac:dyDescent="0.2">
      <c r="N54" s="3" t="s">
        <v>262</v>
      </c>
      <c r="O54" s="3" t="s">
        <v>263</v>
      </c>
      <c r="P54" s="3" t="s">
        <v>263</v>
      </c>
      <c r="Q54" s="3" t="s">
        <v>57</v>
      </c>
      <c r="S54" s="3">
        <v>1</v>
      </c>
      <c r="T54" s="3">
        <v>63</v>
      </c>
      <c r="U54" s="3" t="s">
        <v>105</v>
      </c>
      <c r="V54" s="3" t="s">
        <v>106</v>
      </c>
      <c r="W54" s="3" t="str">
        <f>"^(?![_-])([a-z"&amp; IF(Table1[[#This Row],[Casing]]="Insensitive","A-Z","")&amp;"0-9"&amp; Table1[[#This Row],[special chars]]&amp;"]{"&amp;Table1[[#This Row],[Character min]]&amp;","&amp;Table1[[#This Row],[Character Limit]]-1&amp;"})([^_-]$)"</f>
        <v>^(?![_-])([a-zA-Z0-9_-]{1,62})([^_-]$)</v>
      </c>
      <c r="Y54" s="3" t="b">
        <f>matches(Z54,Table1[[#This Row],[Validation Expression]])</f>
        <v>0</v>
      </c>
    </row>
    <row r="55" spans="14:25" x14ac:dyDescent="0.2">
      <c r="N55" s="3" t="s">
        <v>264</v>
      </c>
      <c r="O55" s="3" t="s">
        <v>265</v>
      </c>
      <c r="P55" s="3" t="s">
        <v>265</v>
      </c>
      <c r="Q55" s="3" t="s">
        <v>114</v>
      </c>
      <c r="R55" s="3" t="s">
        <v>147</v>
      </c>
      <c r="S55" s="3">
        <v>5</v>
      </c>
      <c r="T55" s="3">
        <v>64</v>
      </c>
      <c r="U55" s="3" t="s">
        <v>105</v>
      </c>
      <c r="V55" s="3" t="s">
        <v>148</v>
      </c>
      <c r="W55" s="3" t="str">
        <f>"^(?![_-])([a-z"&amp; IF(Table1[[#This Row],[Casing]]="Insensitive","A-Z","")&amp;"0-9"&amp; Table1[[#This Row],[special chars]]&amp;"]{"&amp;Table1[[#This Row],[Character min]]&amp;","&amp;Table1[[#This Row],[Character Limit]]-1&amp;"})([^_-]$)"</f>
        <v>^(?![_-])([a-zA-Z0-9_\.-]{5,63})([^_-]$)</v>
      </c>
      <c r="Y55" s="3" t="b">
        <f>matches(Z55,Table1[[#This Row],[Validation Expression]])</f>
        <v>0</v>
      </c>
    </row>
    <row r="56" spans="14:25" x14ac:dyDescent="0.2">
      <c r="N56" s="3" t="s">
        <v>62</v>
      </c>
      <c r="O56" s="3" t="s">
        <v>266</v>
      </c>
      <c r="P56" s="3" t="s">
        <v>266</v>
      </c>
      <c r="Q56" s="3" t="s">
        <v>114</v>
      </c>
      <c r="R56" s="3" t="s">
        <v>147</v>
      </c>
      <c r="S56" s="3">
        <v>2</v>
      </c>
      <c r="T56" s="3">
        <v>60</v>
      </c>
      <c r="U56" s="3" t="s">
        <v>105</v>
      </c>
      <c r="V56" s="21" t="s">
        <v>121</v>
      </c>
      <c r="W56" s="3" t="str">
        <f>"^(?![_-])([a-z"&amp; IF(Table1[[#This Row],[Casing]]="Insensitive","A-Z","")&amp;"0-9"&amp; Table1[[#This Row],[special chars]]&amp;"]{"&amp;Table1[[#This Row],[Character min]]&amp;","&amp;Table1[[#This Row],[Character Limit]]-1&amp;"})([^_-]$)"</f>
        <v>^(?![_-])([a-zA-Z0-9-]{2,59})([^_-]$)</v>
      </c>
      <c r="Y56" s="3" t="b">
        <f>matches(Z56,Table1[[#This Row],[Validation Expression]])</f>
        <v>0</v>
      </c>
    </row>
    <row r="57" spans="14:25" x14ac:dyDescent="0.2">
      <c r="N57" s="3" t="s">
        <v>267</v>
      </c>
      <c r="O57" s="3" t="s">
        <v>268</v>
      </c>
      <c r="P57" s="3" t="s">
        <v>268</v>
      </c>
      <c r="Q57" s="3" t="s">
        <v>114</v>
      </c>
      <c r="R57" s="3" t="s">
        <v>147</v>
      </c>
      <c r="S57" s="3">
        <v>3</v>
      </c>
      <c r="T57" s="3">
        <v>59</v>
      </c>
      <c r="U57" s="3" t="s">
        <v>105</v>
      </c>
      <c r="V57" s="3" t="s">
        <v>121</v>
      </c>
      <c r="W57" s="3" t="str">
        <f>"^(?![_-])([a-z"&amp; IF(Table1[[#This Row],[Casing]]="Insensitive","A-Z","")&amp;"0-9"&amp; Table1[[#This Row],[special chars]]&amp;"]{"&amp;Table1[[#This Row],[Character min]]&amp;","&amp;Table1[[#This Row],[Character Limit]]-1&amp;"})([^_-]$)"</f>
        <v>^(?![_-])([a-zA-Z0-9-]{3,58})([^_-]$)</v>
      </c>
      <c r="Y57" s="3" t="b">
        <f>matches(Z57,Table1[[#This Row],[Validation Expression]])</f>
        <v>0</v>
      </c>
    </row>
    <row r="58" spans="14:25" x14ac:dyDescent="0.2">
      <c r="N58" s="3" t="s">
        <v>269</v>
      </c>
      <c r="O58" s="3" t="s">
        <v>270</v>
      </c>
      <c r="P58" s="3" t="s">
        <v>270</v>
      </c>
      <c r="Q58" s="3" t="s">
        <v>114</v>
      </c>
      <c r="R58" s="3" t="s">
        <v>147</v>
      </c>
      <c r="S58" s="3">
        <v>3</v>
      </c>
      <c r="T58" s="3">
        <v>59</v>
      </c>
      <c r="U58" s="3" t="s">
        <v>105</v>
      </c>
      <c r="V58" s="3" t="s">
        <v>121</v>
      </c>
      <c r="W58" s="3" t="str">
        <f>"^(?![_-])([a-z"&amp; IF(Table1[[#This Row],[Casing]]="Insensitive","A-Z","")&amp;"0-9"&amp; Table1[[#This Row],[special chars]]&amp;"]{"&amp;Table1[[#This Row],[Character min]]&amp;","&amp;Table1[[#This Row],[Character Limit]]-1&amp;"})([^_-]$)"</f>
        <v>^(?![_-])([a-zA-Z0-9-]{3,58})([^_-]$)</v>
      </c>
      <c r="Y58" s="3" t="b">
        <f>matches(Z58,Table1[[#This Row],[Validation Expression]])</f>
        <v>0</v>
      </c>
    </row>
    <row r="59" spans="14:25" x14ac:dyDescent="0.2">
      <c r="N59" s="3" t="s">
        <v>271</v>
      </c>
      <c r="O59" s="3" t="s">
        <v>272</v>
      </c>
      <c r="P59" s="3" t="s">
        <v>272</v>
      </c>
      <c r="Q59" s="3" t="s">
        <v>114</v>
      </c>
      <c r="R59" s="3" t="s">
        <v>147</v>
      </c>
      <c r="S59" s="3">
        <v>3</v>
      </c>
      <c r="T59" s="3">
        <v>59</v>
      </c>
      <c r="U59" s="3" t="s">
        <v>105</v>
      </c>
      <c r="V59" s="3" t="s">
        <v>121</v>
      </c>
      <c r="W59" s="3" t="str">
        <f>"^(?![_-])([a-z"&amp; IF(Table1[[#This Row],[Casing]]="Insensitive","A-Z","")&amp;"0-9"&amp; Table1[[#This Row],[special chars]]&amp;"]{"&amp;Table1[[#This Row],[Character min]]&amp;","&amp;Table1[[#This Row],[Character Limit]]-1&amp;"})([^_-]$)"</f>
        <v>^(?![_-])([a-zA-Z0-9-]{3,58})([^_-]$)</v>
      </c>
      <c r="Y59" s="3" t="b">
        <f>matches(Z59,Table1[[#This Row],[Validation Expression]])</f>
        <v>0</v>
      </c>
    </row>
    <row r="60" spans="14:25" x14ac:dyDescent="0.2">
      <c r="N60" s="3" t="s">
        <v>273</v>
      </c>
      <c r="O60" s="3" t="s">
        <v>274</v>
      </c>
      <c r="P60" s="3" t="s">
        <v>274</v>
      </c>
      <c r="Q60" s="3" t="s">
        <v>114</v>
      </c>
      <c r="R60" s="3" t="s">
        <v>147</v>
      </c>
      <c r="S60" s="3">
        <v>3</v>
      </c>
      <c r="T60" s="3">
        <v>59</v>
      </c>
      <c r="U60" s="3" t="s">
        <v>105</v>
      </c>
      <c r="V60" s="3" t="s">
        <v>121</v>
      </c>
      <c r="W60" s="3" t="str">
        <f>"^(?![_-])([a-z"&amp; IF(Table1[[#This Row],[Casing]]="Insensitive","A-Z","")&amp;"0-9"&amp; Table1[[#This Row],[special chars]]&amp;"]{"&amp;Table1[[#This Row],[Character min]]&amp;","&amp;Table1[[#This Row],[Character Limit]]-1&amp;"})([^_-]$)"</f>
        <v>^(?![_-])([a-zA-Z0-9-]{3,58})([^_-]$)</v>
      </c>
      <c r="Y60" s="3" t="b">
        <f>matches(Z60,Table1[[#This Row],[Validation Expression]])</f>
        <v>0</v>
      </c>
    </row>
    <row r="61" spans="14:25" x14ac:dyDescent="0.2">
      <c r="N61" s="3" t="s">
        <v>275</v>
      </c>
      <c r="O61" s="3" t="s">
        <v>276</v>
      </c>
      <c r="P61" s="3" t="s">
        <v>276</v>
      </c>
      <c r="Q61" s="3" t="s">
        <v>114</v>
      </c>
      <c r="R61" s="3" t="s">
        <v>147</v>
      </c>
      <c r="S61" s="3">
        <v>3</v>
      </c>
      <c r="T61" s="3">
        <v>59</v>
      </c>
      <c r="U61" s="3" t="s">
        <v>105</v>
      </c>
      <c r="V61" s="3" t="s">
        <v>121</v>
      </c>
      <c r="W61" s="3" t="str">
        <f>"^(?![_-])([a-z"&amp; IF(Table1[[#This Row],[Casing]]="Insensitive","A-Z","")&amp;"0-9"&amp; Table1[[#This Row],[special chars]]&amp;"]{"&amp;Table1[[#This Row],[Character min]]&amp;","&amp;Table1[[#This Row],[Character Limit]]-1&amp;"})([^_-]$)"</f>
        <v>^(?![_-])([a-zA-Z0-9-]{3,58})([^_-]$)</v>
      </c>
      <c r="Y61" s="3" t="b">
        <f>matches(Z61,Table1[[#This Row],[Validation Expression]])</f>
        <v>0</v>
      </c>
    </row>
    <row r="62" spans="14:25" x14ac:dyDescent="0.2">
      <c r="N62" s="3" t="s">
        <v>277</v>
      </c>
      <c r="O62" s="3" t="s">
        <v>278</v>
      </c>
      <c r="P62" s="3" t="s">
        <v>278</v>
      </c>
      <c r="Q62" s="3" t="s">
        <v>114</v>
      </c>
      <c r="R62" s="3" t="s">
        <v>147</v>
      </c>
      <c r="S62" s="3">
        <v>3</v>
      </c>
      <c r="T62" s="3">
        <v>59</v>
      </c>
      <c r="U62" s="3" t="s">
        <v>105</v>
      </c>
      <c r="V62" s="3" t="s">
        <v>121</v>
      </c>
      <c r="W62" s="3" t="str">
        <f>"^(?![_-])([a-z"&amp; IF(Table1[[#This Row],[Casing]]="Insensitive","A-Z","")&amp;"0-9"&amp; Table1[[#This Row],[special chars]]&amp;"]{"&amp;Table1[[#This Row],[Character min]]&amp;","&amp;Table1[[#This Row],[Character Limit]]-1&amp;"})([^_-]$)"</f>
        <v>^(?![_-])([a-zA-Z0-9-]{3,58})([^_-]$)</v>
      </c>
      <c r="Y62" s="3" t="b">
        <f>matches(Z62,Table1[[#This Row],[Validation Expression]])</f>
        <v>0</v>
      </c>
    </row>
    <row r="63" spans="14:25" x14ac:dyDescent="0.2">
      <c r="N63" s="3" t="s">
        <v>279</v>
      </c>
      <c r="O63" s="3" t="s">
        <v>280</v>
      </c>
      <c r="P63" s="3" t="s">
        <v>280</v>
      </c>
      <c r="Q63" s="3" t="s">
        <v>57</v>
      </c>
      <c r="S63" s="3">
        <v>1</v>
      </c>
      <c r="T63" s="3">
        <v>63</v>
      </c>
      <c r="U63" s="3" t="s">
        <v>105</v>
      </c>
      <c r="V63" s="3" t="s">
        <v>106</v>
      </c>
      <c r="W63" s="3" t="str">
        <f>"^(?![_-])([a-z"&amp; IF(Table1[[#This Row],[Casing]]="Insensitive","A-Z","")&amp;"0-9"&amp; Table1[[#This Row],[special chars]]&amp;"]{"&amp;Table1[[#This Row],[Character min]]&amp;","&amp;Table1[[#This Row],[Character Limit]]-1&amp;"})([^_-]$)"</f>
        <v>^(?![_-])([a-zA-Z0-9_-]{1,62})([^_-]$)</v>
      </c>
      <c r="Y63" s="3" t="b">
        <f>matches(Z63,Table1[[#This Row],[Validation Expression]])</f>
        <v>0</v>
      </c>
    </row>
    <row r="64" spans="14:25" x14ac:dyDescent="0.2">
      <c r="N64" s="3" t="s">
        <v>281</v>
      </c>
      <c r="O64" s="3" t="s">
        <v>282</v>
      </c>
      <c r="P64" s="3" t="s">
        <v>282</v>
      </c>
      <c r="Q64" s="3" t="s">
        <v>114</v>
      </c>
      <c r="R64" s="3" t="s">
        <v>147</v>
      </c>
      <c r="S64" s="3">
        <v>2</v>
      </c>
      <c r="T64" s="3">
        <v>63</v>
      </c>
      <c r="U64" s="3" t="s">
        <v>190</v>
      </c>
      <c r="V64" s="3" t="s">
        <v>121</v>
      </c>
      <c r="W64" s="3" t="str">
        <f>"^(?![_-])([a-z"&amp; IF(Table1[[#This Row],[Casing]]="Insensitive","A-Z","")&amp;"0-9"&amp; Table1[[#This Row],[special chars]]&amp;"]{"&amp;Table1[[#This Row],[Character min]]&amp;","&amp;Table1[[#This Row],[Character Limit]]-1&amp;"})([^_-]$)"</f>
        <v>^(?![_-])([a-z0-9-]{2,62})([^_-]$)</v>
      </c>
      <c r="Y64" s="3" t="b">
        <f>matches(Z64,Table1[[#This Row],[Validation Expression]])</f>
        <v>0</v>
      </c>
    </row>
    <row r="65" spans="14:26" x14ac:dyDescent="0.2">
      <c r="N65" s="3" t="s">
        <v>64</v>
      </c>
      <c r="O65" s="3" t="s">
        <v>283</v>
      </c>
      <c r="P65" s="3" t="s">
        <v>283</v>
      </c>
      <c r="Q65" s="3" t="s">
        <v>114</v>
      </c>
      <c r="S65" s="3">
        <v>3</v>
      </c>
      <c r="T65" s="3">
        <v>24</v>
      </c>
      <c r="U65" s="3" t="s">
        <v>105</v>
      </c>
      <c r="V65" s="3" t="s">
        <v>106</v>
      </c>
      <c r="W65" s="3" t="str">
        <f>"^(?![_-])([a-z"&amp; IF(Table1[[#This Row],[Casing]]="Insensitive","A-Z","")&amp;"0-9"&amp; Table1[[#This Row],[special chars]]&amp;"]{"&amp;Table1[[#This Row],[Character min]]&amp;","&amp;Table1[[#This Row],[Character Limit]]-1&amp;"})([^_-]$)"</f>
        <v>^(?![_-])([a-zA-Z0-9_-]{3,23})([^_-]$)</v>
      </c>
      <c r="Y65" s="3" t="b">
        <f>matches(Z65,Table1[[#This Row],[Validation Expression]])</f>
        <v>0</v>
      </c>
    </row>
    <row r="66" spans="14:26" x14ac:dyDescent="0.2">
      <c r="N66" s="3" t="s">
        <v>284</v>
      </c>
      <c r="O66" s="3" t="s">
        <v>27</v>
      </c>
      <c r="P66" s="3" t="s">
        <v>27</v>
      </c>
      <c r="Q66" s="3" t="s">
        <v>57</v>
      </c>
      <c r="S66" s="3">
        <v>1</v>
      </c>
      <c r="T66" s="3">
        <v>64</v>
      </c>
      <c r="U66" s="3" t="s">
        <v>105</v>
      </c>
      <c r="V66" s="3" t="s">
        <v>106</v>
      </c>
      <c r="W66" s="3" t="str">
        <f>"^(?![_-])([a-z"&amp; IF(Table1[[#This Row],[Casing]]="Insensitive","A-Z","")&amp;"0-9"&amp; Table1[[#This Row],[special chars]]&amp;"]{"&amp;Table1[[#This Row],[Character min]]&amp;","&amp;Table1[[#This Row],[Character Limit]]-1&amp;"})([^_-]$)"</f>
        <v>^(?![_-])([a-zA-Z0-9_-]{1,63})([^_-]$)</v>
      </c>
      <c r="Y66" s="3" t="b">
        <f>matches(Z66,Table1[[#This Row],[Validation Expression]])</f>
        <v>0</v>
      </c>
    </row>
    <row r="67" spans="14:26" x14ac:dyDescent="0.2">
      <c r="N67" s="3" t="s">
        <v>285</v>
      </c>
      <c r="O67" s="3" t="s">
        <v>286</v>
      </c>
      <c r="P67" s="3" t="s">
        <v>286</v>
      </c>
      <c r="Q67" s="3" t="s">
        <v>57</v>
      </c>
      <c r="R67" s="3" t="s">
        <v>147</v>
      </c>
      <c r="S67" s="3">
        <v>1</v>
      </c>
      <c r="T67" s="3">
        <v>80</v>
      </c>
      <c r="U67" s="3" t="s">
        <v>105</v>
      </c>
      <c r="V67" s="21" t="s">
        <v>121</v>
      </c>
      <c r="W67" s="3" t="str">
        <f>"^(?![_-])([a-z"&amp; IF(Table1[[#This Row],[Casing]]="Insensitive","A-Z","")&amp;"0-9"&amp; Table1[[#This Row],[special chars]]&amp;"]{"&amp;Table1[[#This Row],[Character min]]&amp;","&amp;Table1[[#This Row],[Character Limit]]-1&amp;"})([^_-]$)"</f>
        <v>^(?![_-])([a-zA-Z0-9-]{1,79})([^_-]$)</v>
      </c>
      <c r="Y67" s="3" t="b">
        <f>matches(Z67,Table1[[#This Row],[Validation Expression]])</f>
        <v>0</v>
      </c>
    </row>
    <row r="68" spans="14:26" x14ac:dyDescent="0.2">
      <c r="N68" s="3" t="s">
        <v>287</v>
      </c>
      <c r="O68" s="3" t="s">
        <v>288</v>
      </c>
      <c r="P68" s="3" t="s">
        <v>288</v>
      </c>
      <c r="Q68" s="3" t="s">
        <v>57</v>
      </c>
      <c r="R68" s="3" t="s">
        <v>147</v>
      </c>
      <c r="S68" s="3">
        <v>1</v>
      </c>
      <c r="T68" s="3">
        <v>80</v>
      </c>
      <c r="U68" s="3" t="s">
        <v>105</v>
      </c>
      <c r="V68" s="21" t="s">
        <v>121</v>
      </c>
      <c r="W68" s="3" t="str">
        <f>"^(?![_-])([a-z"&amp; IF(Table1[[#This Row],[Casing]]="Insensitive","A-Z","")&amp;"0-9"&amp; Table1[[#This Row],[special chars]]&amp;"]{"&amp;Table1[[#This Row],[Character min]]&amp;","&amp;Table1[[#This Row],[Character Limit]]-1&amp;"})([^_-]$)"</f>
        <v>^(?![_-])([a-zA-Z0-9-]{1,79})([^_-]$)</v>
      </c>
      <c r="Y68" s="3" t="b">
        <f>matches(Z68,Table1[[#This Row],[Validation Expression]])</f>
        <v>0</v>
      </c>
    </row>
    <row r="69" spans="14:26" x14ac:dyDescent="0.2">
      <c r="N69" s="3" t="s">
        <v>289</v>
      </c>
      <c r="O69" s="3" t="s">
        <v>290</v>
      </c>
      <c r="P69" s="3" t="s">
        <v>290</v>
      </c>
      <c r="Q69" s="3" t="s">
        <v>57</v>
      </c>
      <c r="R69" s="3" t="s">
        <v>147</v>
      </c>
      <c r="S69" s="3">
        <v>1</v>
      </c>
      <c r="T69" s="3">
        <v>80</v>
      </c>
      <c r="U69" s="3" t="s">
        <v>105</v>
      </c>
      <c r="V69" s="3" t="s">
        <v>148</v>
      </c>
      <c r="W69" s="3" t="str">
        <f>"^(?![_-])([a-z"&amp; IF(Table1[[#This Row],[Casing]]="Insensitive","A-Z","")&amp;"0-9"&amp; Table1[[#This Row],[special chars]]&amp;"]{"&amp;Table1[[#This Row],[Character min]]&amp;","&amp;Table1[[#This Row],[Character Limit]]-1&amp;"})([^_-]$)"</f>
        <v>^(?![_-])([a-zA-Z0-9_\.-]{1,79})([^_-]$)</v>
      </c>
      <c r="Y69" s="3" t="b">
        <f>matches(Z69,Table1[[#This Row],[Validation Expression]])</f>
        <v>0</v>
      </c>
    </row>
    <row r="70" spans="14:26" x14ac:dyDescent="0.2">
      <c r="N70" s="3" t="s">
        <v>291</v>
      </c>
      <c r="O70" s="3" t="s">
        <v>292</v>
      </c>
      <c r="P70" s="3" t="s">
        <v>292</v>
      </c>
      <c r="Q70" s="3" t="s">
        <v>57</v>
      </c>
      <c r="S70" s="3">
        <v>1</v>
      </c>
      <c r="T70" s="3">
        <v>63</v>
      </c>
      <c r="U70" s="3" t="s">
        <v>105</v>
      </c>
      <c r="V70" s="3" t="s">
        <v>106</v>
      </c>
      <c r="W70" s="3" t="str">
        <f>"^(?![_-])([a-z"&amp; IF(Table1[[#This Row],[Casing]]="Insensitive","A-Z","")&amp;"0-9"&amp; Table1[[#This Row],[special chars]]&amp;"]{"&amp;Table1[[#This Row],[Character min]]&amp;","&amp;Table1[[#This Row],[Character Limit]]-1&amp;"})([^_-]$)"</f>
        <v>^(?![_-])([a-zA-Z0-9_-]{1,62})([^_-]$)</v>
      </c>
      <c r="Y70" s="3" t="b">
        <f>matches(Z70,Table1[[#This Row],[Validation Expression]])</f>
        <v>0</v>
      </c>
      <c r="Z70" s="3" t="s">
        <v>293</v>
      </c>
    </row>
    <row r="71" spans="14:26" x14ac:dyDescent="0.2">
      <c r="N71" s="3" t="s">
        <v>294</v>
      </c>
      <c r="O71" s="3" t="s">
        <v>295</v>
      </c>
      <c r="P71" s="3" t="s">
        <v>295</v>
      </c>
      <c r="Q71" s="3" t="s">
        <v>57</v>
      </c>
      <c r="S71" s="3">
        <v>1</v>
      </c>
      <c r="T71" s="3">
        <v>80</v>
      </c>
      <c r="U71" s="3" t="s">
        <v>105</v>
      </c>
      <c r="V71" s="21" t="s">
        <v>296</v>
      </c>
      <c r="W71" s="3" t="str">
        <f>"^(?![_-])([a-z"&amp; IF(Table1[[#This Row],[Casing]]="Insensitive","A-Z","")&amp;"0-9"&amp; Table1[[#This Row],[special chars]]&amp;"]{"&amp;Table1[[#This Row],[Character min]]&amp;","&amp;Table1[[#This Row],[Character Limit]]-1&amp;"})([^_-]$)"</f>
        <v>^(?![_-])([a-zA-Z0-9-_\.\(\)]{1,79})([^_-]$)</v>
      </c>
      <c r="Y71" s="3" t="b">
        <f>matches(Z71,Table1[[#This Row],[Validation Expression]])</f>
        <v>0</v>
      </c>
    </row>
    <row r="72" spans="14:26" x14ac:dyDescent="0.2">
      <c r="N72" s="3" t="s">
        <v>297</v>
      </c>
      <c r="O72" s="3" t="s">
        <v>298</v>
      </c>
      <c r="P72" s="3" t="s">
        <v>298</v>
      </c>
      <c r="Q72" s="3" t="s">
        <v>57</v>
      </c>
      <c r="S72" s="3">
        <v>1</v>
      </c>
      <c r="T72" s="3">
        <v>63</v>
      </c>
      <c r="U72" s="3" t="s">
        <v>105</v>
      </c>
      <c r="V72" s="3" t="s">
        <v>106</v>
      </c>
      <c r="W72" s="3" t="str">
        <f>"^(?![_-])([a-z"&amp; IF(Table1[[#This Row],[Casing]]="Insensitive","A-Z","")&amp;"0-9"&amp; Table1[[#This Row],[special chars]]&amp;"]{"&amp;Table1[[#This Row],[Character min]]&amp;","&amp;Table1[[#This Row],[Character Limit]]-1&amp;"})([^_-]$)"</f>
        <v>^(?![_-])([a-zA-Z0-9_-]{1,62})([^_-]$)</v>
      </c>
      <c r="Y72" s="3" t="b">
        <f>matches(Z72,Table1[[#This Row],[Validation Expression]])</f>
        <v>0</v>
      </c>
    </row>
    <row r="73" spans="14:26" x14ac:dyDescent="0.2">
      <c r="N73" s="3" t="s">
        <v>299</v>
      </c>
      <c r="O73" s="3" t="s">
        <v>300</v>
      </c>
      <c r="P73" s="3" t="s">
        <v>300</v>
      </c>
      <c r="Q73" s="3" t="s">
        <v>57</v>
      </c>
      <c r="S73" s="3">
        <v>1</v>
      </c>
      <c r="T73" s="3">
        <v>63</v>
      </c>
      <c r="U73" s="3" t="s">
        <v>105</v>
      </c>
      <c r="V73" s="3" t="s">
        <v>106</v>
      </c>
      <c r="W73" s="3" t="str">
        <f>"^(?![_-])([a-z"&amp; IF(Table1[[#This Row],[Casing]]="Insensitive","A-Z","")&amp;"0-9"&amp; Table1[[#This Row],[special chars]]&amp;"]{"&amp;Table1[[#This Row],[Character min]]&amp;","&amp;Table1[[#This Row],[Character Limit]]-1&amp;"})([^_-]$)"</f>
        <v>^(?![_-])([a-zA-Z0-9_-]{1,62})([^_-]$)</v>
      </c>
      <c r="Y73" s="3" t="b">
        <f>matches(Z73,Table1[[#This Row],[Validation Expression]])</f>
        <v>0</v>
      </c>
    </row>
    <row r="74" spans="14:26" x14ac:dyDescent="0.2">
      <c r="N74" s="3" t="s">
        <v>301</v>
      </c>
      <c r="O74" s="3" t="s">
        <v>302</v>
      </c>
      <c r="P74" s="3" t="s">
        <v>302</v>
      </c>
      <c r="Q74" s="3" t="s">
        <v>114</v>
      </c>
      <c r="R74" s="3" t="s">
        <v>147</v>
      </c>
      <c r="S74" s="3">
        <v>3</v>
      </c>
      <c r="T74" s="3">
        <v>128</v>
      </c>
      <c r="U74" s="3" t="s">
        <v>105</v>
      </c>
      <c r="V74" s="3" t="s">
        <v>106</v>
      </c>
      <c r="W74" s="3" t="str">
        <f>"^(?![_-])([a-z"&amp; IF(Table1[[#This Row],[Casing]]="Insensitive","A-Z","")&amp;"0-9"&amp; Table1[[#This Row],[special chars]]&amp;"]{"&amp;Table1[[#This Row],[Character min]]&amp;","&amp;Table1[[#This Row],[Character Limit]]-1&amp;"})([^_-]$)"</f>
        <v>^(?![_-])([a-zA-Z0-9_-]{3,127})([^_-]$)</v>
      </c>
      <c r="Y74" s="3" t="b">
        <f>matches(Z74,Table1[[#This Row],[Validation Expression]])</f>
        <v>0</v>
      </c>
    </row>
    <row r="75" spans="14:26" x14ac:dyDescent="0.2">
      <c r="N75" s="3" t="s">
        <v>303</v>
      </c>
      <c r="O75" s="3" t="s">
        <v>304</v>
      </c>
      <c r="P75" s="3" t="s">
        <v>304</v>
      </c>
      <c r="Q75" s="3" t="s">
        <v>114</v>
      </c>
      <c r="S75" s="3">
        <v>1</v>
      </c>
      <c r="T75" s="3">
        <v>64</v>
      </c>
      <c r="U75" s="3" t="s">
        <v>105</v>
      </c>
      <c r="V75" s="3" t="s">
        <v>106</v>
      </c>
      <c r="W75" s="3" t="str">
        <f>"^(?![_-])([a-z"&amp; IF(Table1[[#This Row],[Casing]]="Insensitive","A-Z","")&amp;"0-9"&amp; Table1[[#This Row],[special chars]]&amp;"]{"&amp;Table1[[#This Row],[Character min]]&amp;","&amp;Table1[[#This Row],[Character Limit]]-1&amp;"})([^_-]$)"</f>
        <v>^(?![_-])([a-zA-Z0-9_-]{1,63})([^_-]$)</v>
      </c>
      <c r="Y75" s="3" t="b">
        <f>matches(Z75,Table1[[#This Row],[Validation Expression]])</f>
        <v>0</v>
      </c>
    </row>
    <row r="76" spans="14:26" x14ac:dyDescent="0.2">
      <c r="N76" s="3" t="s">
        <v>305</v>
      </c>
      <c r="O76" s="3" t="s">
        <v>306</v>
      </c>
      <c r="P76" s="3" t="s">
        <v>306</v>
      </c>
      <c r="Q76" s="3" t="s">
        <v>57</v>
      </c>
      <c r="S76" s="3">
        <v>1</v>
      </c>
      <c r="T76" s="3">
        <v>63</v>
      </c>
      <c r="U76" s="3" t="s">
        <v>105</v>
      </c>
      <c r="V76" s="3" t="s">
        <v>106</v>
      </c>
      <c r="W76" s="3" t="str">
        <f>"^(?![_-])([a-z"&amp; IF(Table1[[#This Row],[Casing]]="Insensitive","A-Z","")&amp;"0-9"&amp; Table1[[#This Row],[special chars]]&amp;"]{"&amp;Table1[[#This Row],[Character min]]&amp;","&amp;Table1[[#This Row],[Character Limit]]-1&amp;"})([^_-]$)"</f>
        <v>^(?![_-])([a-zA-Z0-9_-]{1,62})([^_-]$)</v>
      </c>
      <c r="Y76" s="3" t="b">
        <f>matches(Z76,Table1[[#This Row],[Validation Expression]])</f>
        <v>0</v>
      </c>
    </row>
    <row r="77" spans="14:26" x14ac:dyDescent="0.2">
      <c r="N77" s="3" t="s">
        <v>307</v>
      </c>
      <c r="O77" s="3" t="s">
        <v>308</v>
      </c>
      <c r="P77" s="3" t="s">
        <v>308</v>
      </c>
      <c r="Q77" s="3" t="s">
        <v>57</v>
      </c>
      <c r="R77" s="3" t="s">
        <v>147</v>
      </c>
      <c r="S77" s="3">
        <v>1</v>
      </c>
      <c r="T77" s="3">
        <v>80</v>
      </c>
      <c r="U77" s="3" t="s">
        <v>105</v>
      </c>
      <c r="V77" s="3" t="s">
        <v>148</v>
      </c>
      <c r="W77" s="3" t="str">
        <f>"^(?![_-])([a-z"&amp; IF(Table1[[#This Row],[Casing]]="Insensitive","A-Z","")&amp;"0-9"&amp; Table1[[#This Row],[special chars]]&amp;"]{"&amp;Table1[[#This Row],[Character min]]&amp;","&amp;Table1[[#This Row],[Character Limit]]-1&amp;"})([^_-]$)"</f>
        <v>^(?![_-])([a-zA-Z0-9_\.-]{1,79})([^_-]$)</v>
      </c>
      <c r="Y77" s="3" t="b">
        <f>matches(Z77,Table1[[#This Row],[Validation Expression]])</f>
        <v>0</v>
      </c>
    </row>
    <row r="78" spans="14:26" x14ac:dyDescent="0.2">
      <c r="N78" s="3" t="s">
        <v>309</v>
      </c>
      <c r="O78" s="3" t="s">
        <v>310</v>
      </c>
      <c r="P78" s="3" t="s">
        <v>310</v>
      </c>
      <c r="Q78" s="3" t="s">
        <v>57</v>
      </c>
      <c r="R78" s="3" t="s">
        <v>147</v>
      </c>
      <c r="S78" s="3">
        <v>1</v>
      </c>
      <c r="T78" s="3">
        <v>80</v>
      </c>
      <c r="U78" s="3" t="s">
        <v>105</v>
      </c>
      <c r="V78" s="3" t="s">
        <v>148</v>
      </c>
      <c r="W78" s="3" t="str">
        <f>"^(?![_-])([a-z"&amp; IF(Table1[[#This Row],[Casing]]="Insensitive","A-Z","")&amp;"0-9"&amp; Table1[[#This Row],[special chars]]&amp;"]{"&amp;Table1[[#This Row],[Character min]]&amp;","&amp;Table1[[#This Row],[Character Limit]]-1&amp;"})([^_-]$)"</f>
        <v>^(?![_-])([a-zA-Z0-9_\.-]{1,79})([^_-]$)</v>
      </c>
      <c r="Y78" s="3" t="b">
        <f>matches(Z78,Table1[[#This Row],[Validation Expression]])</f>
        <v>0</v>
      </c>
    </row>
    <row r="79" spans="14:26" x14ac:dyDescent="0.2">
      <c r="N79" s="3" t="s">
        <v>311</v>
      </c>
      <c r="O79" s="3" t="s">
        <v>310</v>
      </c>
      <c r="P79" s="3" t="s">
        <v>312</v>
      </c>
      <c r="Q79" s="3" t="s">
        <v>57</v>
      </c>
      <c r="R79" s="3" t="s">
        <v>147</v>
      </c>
      <c r="S79" s="3">
        <v>1</v>
      </c>
      <c r="T79" s="3">
        <v>80</v>
      </c>
      <c r="U79" s="3" t="s">
        <v>105</v>
      </c>
      <c r="V79" s="3" t="s">
        <v>148</v>
      </c>
      <c r="W79" s="3" t="str">
        <f>"^(?![_-])([a-z"&amp; IF(Table1[[#This Row],[Casing]]="Insensitive","A-Z","")&amp;"0-9"&amp; Table1[[#This Row],[special chars]]&amp;"]{"&amp;Table1[[#This Row],[Character min]]&amp;","&amp;Table1[[#This Row],[Character Limit]]-1&amp;"})([^_-]$)"</f>
        <v>^(?![_-])([a-zA-Z0-9_\.-]{1,79})([^_-]$)</v>
      </c>
      <c r="Y79" s="3" t="b">
        <f>matches(Z79,Table1[[#This Row],[Validation Expression]])</f>
        <v>0</v>
      </c>
    </row>
    <row r="80" spans="14:26" x14ac:dyDescent="0.2">
      <c r="N80" s="3" t="s">
        <v>313</v>
      </c>
      <c r="O80" s="3" t="s">
        <v>314</v>
      </c>
      <c r="P80" s="3" t="s">
        <v>314</v>
      </c>
      <c r="Q80" s="3" t="s">
        <v>114</v>
      </c>
      <c r="R80" s="3" t="s">
        <v>147</v>
      </c>
      <c r="S80" s="3">
        <v>6</v>
      </c>
      <c r="T80" s="3">
        <v>50</v>
      </c>
      <c r="U80" s="3" t="s">
        <v>105</v>
      </c>
      <c r="V80" s="3" t="s">
        <v>148</v>
      </c>
      <c r="W80" s="3" t="str">
        <f>"^(?![_-])([a-z"&amp; IF(Table1[[#This Row],[Casing]]="Insensitive","A-Z","")&amp;"0-9"&amp; Table1[[#This Row],[special chars]]&amp;"]{"&amp;Table1[[#This Row],[Character min]]&amp;","&amp;Table1[[#This Row],[Character Limit]]-1&amp;"})([^_-]$)"</f>
        <v>^(?![_-])([a-zA-Z0-9_\.-]{6,49})([^_-]$)</v>
      </c>
      <c r="Y80" s="3" t="b">
        <f>matches(Z80,Table1[[#This Row],[Validation Expression]])</f>
        <v>0</v>
      </c>
    </row>
    <row r="81" spans="14:27" x14ac:dyDescent="0.2">
      <c r="N81" s="3" t="s">
        <v>315</v>
      </c>
      <c r="O81" s="3" t="s">
        <v>316</v>
      </c>
      <c r="P81" s="3" t="s">
        <v>316</v>
      </c>
      <c r="Q81" s="3" t="s">
        <v>57</v>
      </c>
      <c r="S81" s="3">
        <v>1</v>
      </c>
      <c r="T81" s="3">
        <v>63</v>
      </c>
      <c r="U81" s="3" t="s">
        <v>105</v>
      </c>
      <c r="V81" s="3" t="s">
        <v>106</v>
      </c>
      <c r="W81" s="3" t="str">
        <f>"^(?![_-])([a-z"&amp; IF(Table1[[#This Row],[Casing]]="Insensitive","A-Z","")&amp;"0-9"&amp; Table1[[#This Row],[special chars]]&amp;"]{"&amp;Table1[[#This Row],[Character min]]&amp;","&amp;Table1[[#This Row],[Character Limit]]-1&amp;"})([^_-]$)"</f>
        <v>^(?![_-])([a-zA-Z0-9_-]{1,62})([^_-]$)</v>
      </c>
      <c r="Y81" s="3" t="b">
        <f>matches(Z81,Table1[[#This Row],[Validation Expression]])</f>
        <v>0</v>
      </c>
    </row>
    <row r="82" spans="14:27" x14ac:dyDescent="0.2">
      <c r="N82" s="3" t="s">
        <v>317</v>
      </c>
      <c r="O82" s="3" t="s">
        <v>318</v>
      </c>
      <c r="P82" s="3" t="s">
        <v>318</v>
      </c>
      <c r="Q82" s="3" t="s">
        <v>114</v>
      </c>
      <c r="S82" s="3">
        <v>1</v>
      </c>
      <c r="T82" s="3">
        <v>24</v>
      </c>
      <c r="U82" s="3" t="s">
        <v>105</v>
      </c>
      <c r="V82" s="3" t="s">
        <v>106</v>
      </c>
      <c r="W82" s="3" t="str">
        <f>"^(?![_-])([a-z"&amp; IF(Table1[[#This Row],[Casing]]="Insensitive","A-Z","")&amp;"0-9"&amp; Table1[[#This Row],[special chars]]&amp;"]{"&amp;Table1[[#This Row],[Character min]]&amp;","&amp;Table1[[#This Row],[Character Limit]]-1&amp;"})([^_-]$)"</f>
        <v>^(?![_-])([a-zA-Z0-9_-]{1,23})([^_-]$)</v>
      </c>
      <c r="Y82" s="3" t="b">
        <f>matches(Z82,Table1[[#This Row],[Validation Expression]])</f>
        <v>0</v>
      </c>
    </row>
    <row r="83" spans="14:27" x14ac:dyDescent="0.2">
      <c r="N83" s="3" t="s">
        <v>319</v>
      </c>
      <c r="O83" s="3" t="s">
        <v>320</v>
      </c>
      <c r="P83" s="3" t="s">
        <v>320</v>
      </c>
      <c r="Q83" s="3" t="s">
        <v>114</v>
      </c>
      <c r="S83" s="3">
        <v>1</v>
      </c>
      <c r="T83" s="3">
        <v>64</v>
      </c>
      <c r="U83" s="3" t="s">
        <v>105</v>
      </c>
      <c r="V83" s="3" t="s">
        <v>106</v>
      </c>
      <c r="W83" s="3" t="str">
        <f>"^(?![_-])([a-z"&amp; IF(Table1[[#This Row],[Casing]]="Insensitive","A-Z","")&amp;"0-9"&amp; Table1[[#This Row],[special chars]]&amp;"]{"&amp;Table1[[#This Row],[Character min]]&amp;","&amp;Table1[[#This Row],[Character Limit]]-1&amp;"})([^_-]$)"</f>
        <v>^(?![_-])([a-zA-Z0-9_-]{1,63})([^_-]$)</v>
      </c>
      <c r="Y83" s="3" t="b">
        <f>matches(Z83,Table1[[#This Row],[Validation Expression]])</f>
        <v>0</v>
      </c>
    </row>
    <row r="84" spans="14:27" x14ac:dyDescent="0.2">
      <c r="N84" s="3" t="s">
        <v>321</v>
      </c>
      <c r="O84" s="3" t="s">
        <v>322</v>
      </c>
      <c r="P84" s="3" t="s">
        <v>322</v>
      </c>
      <c r="Q84" s="3" t="s">
        <v>57</v>
      </c>
      <c r="S84" s="3">
        <v>1</v>
      </c>
      <c r="T84" s="3">
        <v>63</v>
      </c>
      <c r="U84" s="3" t="s">
        <v>105</v>
      </c>
      <c r="V84" s="3" t="s">
        <v>106</v>
      </c>
      <c r="W84" s="3" t="str">
        <f>"^(?![_-])([a-z"&amp; IF(Table1[[#This Row],[Casing]]="Insensitive","A-Z","")&amp;"0-9"&amp; Table1[[#This Row],[special chars]]&amp;"]{"&amp;Table1[[#This Row],[Character min]]&amp;","&amp;Table1[[#This Row],[Character Limit]]-1&amp;"})([^_-]$)"</f>
        <v>^(?![_-])([a-zA-Z0-9_-]{1,62})([^_-]$)</v>
      </c>
      <c r="Y84" s="3" t="b">
        <f>matches(Z84,Table1[[#This Row],[Validation Expression]])</f>
        <v>0</v>
      </c>
    </row>
    <row r="85" spans="14:27" x14ac:dyDescent="0.2">
      <c r="N85" s="3" t="s">
        <v>323</v>
      </c>
      <c r="O85" s="3" t="s">
        <v>324</v>
      </c>
      <c r="P85" s="3" t="s">
        <v>324</v>
      </c>
      <c r="Q85" s="3" t="s">
        <v>57</v>
      </c>
      <c r="R85" s="3" t="s">
        <v>147</v>
      </c>
      <c r="S85" s="3">
        <v>3</v>
      </c>
      <c r="T85" s="3">
        <v>63</v>
      </c>
      <c r="U85" s="3" t="s">
        <v>105</v>
      </c>
      <c r="V85" s="21" t="s">
        <v>121</v>
      </c>
      <c r="W85" s="3" t="str">
        <f>"^(?![_-])([a-z"&amp; IF(Table1[[#This Row],[Casing]]="Insensitive","A-Z","")&amp;"0-9"&amp; Table1[[#This Row],[special chars]]&amp;"]{"&amp;Table1[[#This Row],[Character min]]&amp;","&amp;Table1[[#This Row],[Character Limit]]-1&amp;"})([^_-]$)"</f>
        <v>^(?![_-])([a-zA-Z0-9-]{3,62})([^_-]$)</v>
      </c>
      <c r="Y85" s="3" t="b">
        <f>matches(Z85,Table1[[#This Row],[Validation Expression]])</f>
        <v>0</v>
      </c>
    </row>
    <row r="86" spans="14:27" x14ac:dyDescent="0.2">
      <c r="N86" s="3" t="s">
        <v>77</v>
      </c>
      <c r="O86" s="3" t="s">
        <v>325</v>
      </c>
      <c r="P86" s="3" t="s">
        <v>325</v>
      </c>
      <c r="Q86" s="3" t="s">
        <v>57</v>
      </c>
      <c r="S86" s="3">
        <v>1</v>
      </c>
      <c r="T86" s="3">
        <v>50</v>
      </c>
      <c r="U86" s="3" t="s">
        <v>105</v>
      </c>
      <c r="V86" s="3" t="s">
        <v>106</v>
      </c>
      <c r="W86" s="3" t="s">
        <v>326</v>
      </c>
      <c r="Y86" s="3" t="b">
        <f>matches(Z86,Table1[[#This Row],[Validation Expression]])</f>
        <v>0</v>
      </c>
    </row>
    <row r="87" spans="14:27" x14ac:dyDescent="0.2">
      <c r="N87" s="3" t="s">
        <v>327</v>
      </c>
      <c r="O87" s="3" t="s">
        <v>328</v>
      </c>
      <c r="P87" s="3" t="s">
        <v>328</v>
      </c>
      <c r="Q87" s="3" t="s">
        <v>57</v>
      </c>
      <c r="R87" s="3" t="s">
        <v>147</v>
      </c>
      <c r="S87" s="3">
        <v>1</v>
      </c>
      <c r="T87" s="3">
        <v>80</v>
      </c>
      <c r="U87" s="3" t="s">
        <v>105</v>
      </c>
      <c r="V87" s="3" t="s">
        <v>148</v>
      </c>
      <c r="W87" s="3" t="str">
        <f>"^(?![_-])([a-z"&amp; IF(Table1[[#This Row],[Casing]]="Insensitive","A-Z","")&amp;"0-9"&amp; Table1[[#This Row],[special chars]]&amp;"]{"&amp;Table1[[#This Row],[Character min]]&amp;","&amp;Table1[[#This Row],[Character Limit]]-1&amp;"})([^_-]$)"</f>
        <v>^(?![_-])([a-zA-Z0-9_\.-]{1,79})([^_-]$)</v>
      </c>
      <c r="Y87" s="3" t="b">
        <f>matches(Z87,Table1[[#This Row],[Validation Expression]])</f>
        <v>0</v>
      </c>
    </row>
    <row r="88" spans="14:27" x14ac:dyDescent="0.2">
      <c r="N88" s="3" t="s">
        <v>329</v>
      </c>
      <c r="O88" s="3" t="s">
        <v>330</v>
      </c>
      <c r="P88" s="3" t="s">
        <v>330</v>
      </c>
      <c r="Q88" s="3" t="s">
        <v>114</v>
      </c>
      <c r="S88" s="3">
        <v>1</v>
      </c>
      <c r="T88" s="3">
        <v>60</v>
      </c>
      <c r="U88" s="3" t="s">
        <v>105</v>
      </c>
      <c r="V88" s="3" t="s">
        <v>106</v>
      </c>
      <c r="W88" s="3" t="str">
        <f>"^(?![_-])([a-z"&amp; IF(Table1[[#This Row],[Casing]]="Insensitive","A-Z","")&amp;"0-9"&amp; Table1[[#This Row],[special chars]]&amp;"]{"&amp;Table1[[#This Row],[Character min]]&amp;","&amp;Table1[[#This Row],[Character Limit]]-1&amp;"})([^_-]$)"</f>
        <v>^(?![_-])([a-zA-Z0-9_-]{1,59})([^_-]$)</v>
      </c>
      <c r="Y88" s="3" t="b">
        <f>matches(Z88,Table1[[#This Row],[Validation Expression]])</f>
        <v>0</v>
      </c>
    </row>
    <row r="89" spans="14:27" x14ac:dyDescent="0.2">
      <c r="N89" s="3" t="s">
        <v>331</v>
      </c>
      <c r="O89" s="3" t="s">
        <v>332</v>
      </c>
      <c r="P89" s="3" t="s">
        <v>332</v>
      </c>
      <c r="Q89" s="3" t="s">
        <v>57</v>
      </c>
      <c r="R89" s="3" t="s">
        <v>147</v>
      </c>
      <c r="S89" s="3">
        <v>2</v>
      </c>
      <c r="T89" s="3">
        <v>50</v>
      </c>
      <c r="U89" s="3" t="s">
        <v>105</v>
      </c>
      <c r="V89" s="3" t="s">
        <v>106</v>
      </c>
      <c r="W89" s="3" t="str">
        <f>"^(?![_-])([a-z"&amp; IF(Table1[[#This Row],[Casing]]="Insensitive","A-Z","")&amp;"0-9"&amp; Table1[[#This Row],[special chars]]&amp;"]{"&amp;Table1[[#This Row],[Character min]]&amp;","&amp;Table1[[#This Row],[Character Limit]]-1&amp;"})([^_-]$)"</f>
        <v>^(?![_-])([a-zA-Z0-9_-]{2,49})([^_-]$)</v>
      </c>
      <c r="Y89" s="3" t="b">
        <f>matches(Z89,Table1[[#This Row],[Validation Expression]])</f>
        <v>0</v>
      </c>
    </row>
    <row r="90" spans="14:27" x14ac:dyDescent="0.2">
      <c r="N90" s="3" t="s">
        <v>57</v>
      </c>
      <c r="O90" s="3" t="s">
        <v>333</v>
      </c>
      <c r="P90" s="3" t="s">
        <v>333</v>
      </c>
      <c r="Q90" s="3" t="s">
        <v>334</v>
      </c>
      <c r="R90" s="3" t="s">
        <v>147</v>
      </c>
      <c r="S90" s="3">
        <v>1</v>
      </c>
      <c r="T90" s="3">
        <v>64</v>
      </c>
      <c r="U90" s="3" t="s">
        <v>105</v>
      </c>
      <c r="V90" s="3" t="s">
        <v>148</v>
      </c>
      <c r="W90" s="3" t="str">
        <f>"^(?![_-])([a-z"&amp; IF(Table1[[#This Row],[Casing]]="Insensitive","A-Z","")&amp;"0-9"&amp; Table1[[#This Row],[special chars]]&amp;"]{"&amp;Table1[[#This Row],[Character min]]&amp;","&amp;Table1[[#This Row],[Character Limit]]-1&amp;"})([^_-]$)"</f>
        <v>^(?![_-])([a-zA-Z0-9_\.-]{1,63})([^_-]$)</v>
      </c>
      <c r="Y90" s="3" t="b">
        <f>matches(Z90,Table1[[#This Row],[Validation Expression]])</f>
        <v>1</v>
      </c>
      <c r="Z90" s="3" t="s">
        <v>335</v>
      </c>
      <c r="AA90" s="3">
        <f>LEN(Z90)</f>
        <v>64</v>
      </c>
    </row>
    <row r="91" spans="14:27" x14ac:dyDescent="0.2">
      <c r="N91" s="3" t="s">
        <v>336</v>
      </c>
      <c r="O91" s="3" t="s">
        <v>337</v>
      </c>
      <c r="P91" s="3" t="s">
        <v>337</v>
      </c>
      <c r="Q91" s="3" t="s">
        <v>57</v>
      </c>
      <c r="S91" s="3">
        <v>1</v>
      </c>
      <c r="T91" s="3">
        <v>63</v>
      </c>
      <c r="U91" s="3" t="s">
        <v>105</v>
      </c>
      <c r="V91" s="3" t="s">
        <v>106</v>
      </c>
      <c r="W91" s="3" t="str">
        <f>"^(?![_-])([a-z"&amp; IF(Table1[[#This Row],[Casing]]="Insensitive","A-Z","")&amp;"0-9"&amp; Table1[[#This Row],[special chars]]&amp;"]{"&amp;Table1[[#This Row],[Character min]]&amp;","&amp;Table1[[#This Row],[Character Limit]]-1&amp;"})([^_-]$)"</f>
        <v>^(?![_-])([a-zA-Z0-9_-]{1,62})([^_-]$)</v>
      </c>
      <c r="Y91" s="3" t="b">
        <f>matches(Z91,Table1[[#This Row],[Validation Expression]])</f>
        <v>0</v>
      </c>
    </row>
    <row r="92" spans="14:27" x14ac:dyDescent="0.2">
      <c r="N92" s="3" t="s">
        <v>76</v>
      </c>
      <c r="O92" s="3" t="s">
        <v>338</v>
      </c>
      <c r="P92" s="3" t="s">
        <v>338</v>
      </c>
      <c r="Q92" s="3" t="s">
        <v>57</v>
      </c>
      <c r="R92" s="3" t="s">
        <v>147</v>
      </c>
      <c r="S92" s="3">
        <v>6</v>
      </c>
      <c r="T92" s="3">
        <v>50</v>
      </c>
      <c r="U92" s="3" t="s">
        <v>105</v>
      </c>
      <c r="V92" s="21" t="s">
        <v>121</v>
      </c>
      <c r="W92" s="3" t="str">
        <f>"^(?![_-])([a-z"&amp; IF(Table1[[#This Row],[Casing]]="Insensitive","A-Z","")&amp;"0-9"&amp; Table1[[#This Row],[special chars]]&amp;"]{"&amp;Table1[[#This Row],[Character min]]&amp;","&amp;Table1[[#This Row],[Character Limit]]-1&amp;"})([^_-]$)"</f>
        <v>^(?![_-])([a-zA-Z0-9-]{6,49})([^_-]$)</v>
      </c>
      <c r="Y92" s="3" t="b">
        <f>matches(Z92,Table1[[#This Row],[Validation Expression]])</f>
        <v>0</v>
      </c>
    </row>
    <row r="93" spans="14:27" x14ac:dyDescent="0.2">
      <c r="N93" s="3" t="s">
        <v>339</v>
      </c>
      <c r="O93" s="3" t="s">
        <v>340</v>
      </c>
      <c r="P93" s="3" t="s">
        <v>340</v>
      </c>
      <c r="Q93" s="3" t="s">
        <v>341</v>
      </c>
      <c r="R93" s="3" t="s">
        <v>147</v>
      </c>
      <c r="S93" s="3">
        <v>1</v>
      </c>
      <c r="T93" s="3">
        <v>260</v>
      </c>
      <c r="U93" s="3" t="s">
        <v>105</v>
      </c>
      <c r="V93" s="21" t="s">
        <v>121</v>
      </c>
      <c r="W93" s="3" t="str">
        <f>"^(?![_-])([a-z"&amp; IF(Table1[[#This Row],[Casing]]="Insensitive","A-Z","")&amp;"0-9"&amp; Table1[[#This Row],[special chars]]&amp;"]{"&amp;Table1[[#This Row],[Character min]]&amp;","&amp;Table1[[#This Row],[Character Limit]]-1&amp;"})([^_-]$)"</f>
        <v>^(?![_-])([a-zA-Z0-9-]{1,259})([^_-]$)</v>
      </c>
      <c r="Y93" s="3" t="b">
        <f>matches(Z93,Table1[[#This Row],[Validation Expression]])</f>
        <v>0</v>
      </c>
    </row>
    <row r="94" spans="14:27" x14ac:dyDescent="0.2">
      <c r="N94" s="3" t="s">
        <v>342</v>
      </c>
      <c r="O94" s="3" t="s">
        <v>343</v>
      </c>
      <c r="P94" s="3" t="s">
        <v>343</v>
      </c>
      <c r="Q94" s="3" t="s">
        <v>341</v>
      </c>
      <c r="R94" s="3" t="s">
        <v>147</v>
      </c>
      <c r="S94" s="3">
        <v>1</v>
      </c>
      <c r="T94" s="3">
        <v>260</v>
      </c>
      <c r="U94" s="3" t="s">
        <v>105</v>
      </c>
      <c r="V94" s="21" t="s">
        <v>121</v>
      </c>
      <c r="W94" s="3" t="str">
        <f>"^(?![_-])([a-z"&amp; IF(Table1[[#This Row],[Casing]]="Insensitive","A-Z","")&amp;"0-9"&amp; Table1[[#This Row],[special chars]]&amp;"]{"&amp;Table1[[#This Row],[Character min]]&amp;","&amp;Table1[[#This Row],[Character Limit]]-1&amp;"})([^_-]$)"</f>
        <v>^(?![_-])([a-zA-Z0-9-]{1,259})([^_-]$)</v>
      </c>
      <c r="Y94" s="3" t="b">
        <f>matches(Z94,Table1[[#This Row],[Validation Expression]])</f>
        <v>0</v>
      </c>
    </row>
    <row r="95" spans="14:27" x14ac:dyDescent="0.2">
      <c r="N95" s="3" t="s">
        <v>344</v>
      </c>
      <c r="O95" s="3" t="s">
        <v>345</v>
      </c>
      <c r="P95" s="3" t="s">
        <v>345</v>
      </c>
      <c r="Q95" s="3" t="s">
        <v>346</v>
      </c>
      <c r="R95" s="3" t="s">
        <v>147</v>
      </c>
      <c r="S95" s="3">
        <v>4</v>
      </c>
      <c r="T95" s="3">
        <v>23</v>
      </c>
      <c r="U95" s="3" t="s">
        <v>190</v>
      </c>
      <c r="V95" s="21" t="s">
        <v>121</v>
      </c>
      <c r="W95" s="3" t="str">
        <f>"^(?![_-])([a-z"&amp; IF(Table1[[#This Row],[Casing]]="Insensitive","A-Z","")&amp;"0-9"&amp; Table1[[#This Row],[special chars]]&amp;"]{"&amp;Table1[[#This Row],[Character min]]&amp;","&amp;Table1[[#This Row],[Character Limit]]-1&amp;"})([^_-]$)"</f>
        <v>^(?![_-])([a-z0-9-]{4,22})([^_-]$)</v>
      </c>
      <c r="Y95" s="3" t="b">
        <f>matches(Z95,Table1[[#This Row],[Validation Expression]])</f>
        <v>0</v>
      </c>
    </row>
    <row r="96" spans="14:27" x14ac:dyDescent="0.2">
      <c r="N96" s="3" t="s">
        <v>347</v>
      </c>
      <c r="O96" s="3" t="s">
        <v>348</v>
      </c>
      <c r="P96" s="3" t="s">
        <v>348</v>
      </c>
      <c r="Q96" s="3" t="s">
        <v>57</v>
      </c>
      <c r="R96" s="3" t="s">
        <v>147</v>
      </c>
      <c r="S96" s="3">
        <v>1</v>
      </c>
      <c r="T96" s="3">
        <v>63</v>
      </c>
      <c r="U96" s="3" t="s">
        <v>105</v>
      </c>
      <c r="V96" s="21" t="s">
        <v>121</v>
      </c>
      <c r="W96" s="3" t="str">
        <f>"^(?![_-])([a-z"&amp; IF(Table1[[#This Row],[Casing]]="Insensitive","A-Z","")&amp;"0-9"&amp; Table1[[#This Row],[special chars]]&amp;"]{"&amp;Table1[[#This Row],[Character min]]&amp;","&amp;Table1[[#This Row],[Character Limit]]-1&amp;"})([^_-]$)"</f>
        <v>^(?![_-])([a-zA-Z0-9-]{1,62})([^_-]$)</v>
      </c>
      <c r="Y96" s="3" t="b">
        <f>matches(Z96,Table1[[#This Row],[Validation Expression]])</f>
        <v>0</v>
      </c>
    </row>
    <row r="97" spans="14:25" x14ac:dyDescent="0.2">
      <c r="N97" s="3" t="s">
        <v>349</v>
      </c>
      <c r="O97" s="3" t="s">
        <v>350</v>
      </c>
      <c r="P97" s="3" t="s">
        <v>350</v>
      </c>
      <c r="Q97" s="3" t="s">
        <v>57</v>
      </c>
      <c r="R97" s="3" t="s">
        <v>147</v>
      </c>
      <c r="S97" s="3">
        <v>1</v>
      </c>
      <c r="T97" s="3">
        <v>128</v>
      </c>
      <c r="U97" s="3" t="s">
        <v>105</v>
      </c>
      <c r="V97" s="3" t="s">
        <v>106</v>
      </c>
      <c r="W97" s="3" t="str">
        <f>"^(?![_-])([a-z"&amp; IF(Table1[[#This Row],[Casing]]="Insensitive","A-Z","")&amp;"0-9"&amp; Table1[[#This Row],[special chars]]&amp;"]{"&amp;Table1[[#This Row],[Character min]]&amp;","&amp;Table1[[#This Row],[Character Limit]]-1&amp;"})([^_-]$)"</f>
        <v>^(?![_-])([a-zA-Z0-9_-]{1,127})([^_-]$)</v>
      </c>
      <c r="Y97" s="3" t="b">
        <f>matches(Z97,Table1[[#This Row],[Validation Expression]])</f>
        <v>0</v>
      </c>
    </row>
    <row r="98" spans="14:25" x14ac:dyDescent="0.2">
      <c r="N98" s="3" t="s">
        <v>351</v>
      </c>
      <c r="O98" s="3" t="s">
        <v>352</v>
      </c>
      <c r="P98" s="3" t="s">
        <v>352</v>
      </c>
      <c r="Q98" s="3" t="s">
        <v>57</v>
      </c>
      <c r="S98" s="3">
        <v>1</v>
      </c>
      <c r="T98" s="3">
        <v>63</v>
      </c>
      <c r="U98" s="3" t="s">
        <v>105</v>
      </c>
      <c r="V98" s="3" t="s">
        <v>106</v>
      </c>
      <c r="W98" s="3" t="str">
        <f>"^(?![_-])([a-z"&amp; IF(Table1[[#This Row],[Casing]]="Insensitive","A-Z","")&amp;"0-9"&amp; Table1[[#This Row],[special chars]]&amp;"]{"&amp;Table1[[#This Row],[Character min]]&amp;","&amp;Table1[[#This Row],[Character Limit]]-1&amp;"})([^_-]$)"</f>
        <v>^(?![_-])([a-zA-Z0-9_-]{1,62})([^_-]$)</v>
      </c>
      <c r="Y98" s="3" t="b">
        <f>matches(Z98,Table1[[#This Row],[Validation Expression]])</f>
        <v>0</v>
      </c>
    </row>
    <row r="99" spans="14:25" x14ac:dyDescent="0.2">
      <c r="N99" s="3" t="s">
        <v>63</v>
      </c>
      <c r="O99" s="3" t="s">
        <v>353</v>
      </c>
      <c r="P99" s="3" t="s">
        <v>353</v>
      </c>
      <c r="Q99" s="3" t="s">
        <v>57</v>
      </c>
      <c r="R99" s="3" t="s">
        <v>147</v>
      </c>
      <c r="S99" s="3">
        <v>3</v>
      </c>
      <c r="T99" s="3">
        <v>24</v>
      </c>
      <c r="U99" s="3" t="s">
        <v>190</v>
      </c>
      <c r="W99" s="3" t="str">
        <f>"^(?![_-])([a-z"&amp; IF(Table1[[#This Row],[Casing]]="Insensitive","A-Z","")&amp;"0-9"&amp; Table1[[#This Row],[special chars]]&amp;"]{"&amp;Table1[[#This Row],[Character min]]&amp;","&amp;Table1[[#This Row],[Character Limit]]-1&amp;"})([^_-]$)"</f>
        <v>^(?![_-])([a-z0-9]{3,23})([^_-]$)</v>
      </c>
      <c r="Y99" s="3" t="b">
        <f>matches(Z99,Table1[[#This Row],[Validation Expression]])</f>
        <v>0</v>
      </c>
    </row>
    <row r="100" spans="14:25" x14ac:dyDescent="0.2">
      <c r="N100" s="3" t="s">
        <v>354</v>
      </c>
      <c r="O100" s="3" t="s">
        <v>355</v>
      </c>
      <c r="P100" s="3" t="s">
        <v>355</v>
      </c>
      <c r="Q100" s="3" t="s">
        <v>57</v>
      </c>
      <c r="S100" s="3">
        <v>1</v>
      </c>
      <c r="T100" s="3">
        <v>63</v>
      </c>
      <c r="U100" s="3" t="s">
        <v>105</v>
      </c>
      <c r="V100" s="3" t="s">
        <v>106</v>
      </c>
      <c r="W100" s="3" t="str">
        <f>"^(?![_-])([a-z"&amp; IF(Table1[[#This Row],[Casing]]="Insensitive","A-Z","")&amp;"0-9"&amp; Table1[[#This Row],[special chars]]&amp;"]{"&amp;Table1[[#This Row],[Character min]]&amp;","&amp;Table1[[#This Row],[Character Limit]]-1&amp;"})([^_-]$)"</f>
        <v>^(?![_-])([a-zA-Z0-9_-]{1,62})([^_-]$)</v>
      </c>
      <c r="Y100" s="3" t="b">
        <f>matches(Z100,Table1[[#This Row],[Validation Expression]])</f>
        <v>0</v>
      </c>
    </row>
    <row r="101" spans="14:25" x14ac:dyDescent="0.2">
      <c r="N101" s="3" t="s">
        <v>356</v>
      </c>
      <c r="O101" s="3" t="s">
        <v>357</v>
      </c>
      <c r="P101" s="3" t="s">
        <v>357</v>
      </c>
      <c r="Q101" s="3" t="s">
        <v>57</v>
      </c>
      <c r="S101" s="3">
        <v>1</v>
      </c>
      <c r="T101" s="3">
        <v>63</v>
      </c>
      <c r="U101" s="3" t="s">
        <v>105</v>
      </c>
      <c r="V101" s="3" t="s">
        <v>106</v>
      </c>
      <c r="W101" s="3" t="str">
        <f>"^(?![_-])([a-z"&amp; IF(Table1[[#This Row],[Casing]]="Insensitive","A-Z","")&amp;"0-9"&amp; Table1[[#This Row],[special chars]]&amp;"]{"&amp;Table1[[#This Row],[Character min]]&amp;","&amp;Table1[[#This Row],[Character Limit]]-1&amp;"})([^_-]$)"</f>
        <v>^(?![_-])([a-zA-Z0-9_-]{1,62})([^_-]$)</v>
      </c>
      <c r="Y101" s="3" t="b">
        <f>matches(Z101,Table1[[#This Row],[Validation Expression]])</f>
        <v>0</v>
      </c>
    </row>
    <row r="102" spans="14:25" x14ac:dyDescent="0.2">
      <c r="N102" s="3" t="s">
        <v>358</v>
      </c>
      <c r="O102" s="3" t="s">
        <v>359</v>
      </c>
      <c r="P102" s="3" t="s">
        <v>359</v>
      </c>
      <c r="Q102" s="3" t="s">
        <v>57</v>
      </c>
      <c r="R102" s="3" t="s">
        <v>147</v>
      </c>
      <c r="S102" s="3">
        <v>1</v>
      </c>
      <c r="T102" s="3">
        <v>63</v>
      </c>
      <c r="U102" s="3" t="s">
        <v>105</v>
      </c>
      <c r="V102" s="3" t="s">
        <v>360</v>
      </c>
      <c r="W102" s="3" t="str">
        <f>"^(?![_-])([a-z"&amp; IF(Table1[[#This Row],[Casing]]="Insensitive","A-Z","")&amp;"0-9"&amp; Table1[[#This Row],[special chars]]&amp;"]{"&amp;Table1[[#This Row],[Character min]]&amp;","&amp;Table1[[#This Row],[Character Limit]]-1&amp;"})([^_-]$)"</f>
        <v>^(?![_-])([a-zA-Z0-9\.-]{1,62})([^_-]$)</v>
      </c>
      <c r="Y102" s="3" t="b">
        <f>matches(Z102,Table1[[#This Row],[Validation Expression]])</f>
        <v>0</v>
      </c>
    </row>
    <row r="103" spans="14:25" x14ac:dyDescent="0.2">
      <c r="N103" s="3" t="s">
        <v>361</v>
      </c>
      <c r="O103" s="3" t="s">
        <v>362</v>
      </c>
      <c r="P103" s="3" t="s">
        <v>362</v>
      </c>
      <c r="Q103" s="3" t="s">
        <v>57</v>
      </c>
      <c r="S103" s="3">
        <v>1</v>
      </c>
      <c r="T103" s="3">
        <v>63</v>
      </c>
      <c r="U103" s="3" t="s">
        <v>105</v>
      </c>
      <c r="V103" s="3" t="s">
        <v>106</v>
      </c>
      <c r="W103" s="3" t="str">
        <f>"^(?![_-])([a-z"&amp; IF(Table1[[#This Row],[Casing]]="Insensitive","A-Z","")&amp;"0-9"&amp; Table1[[#This Row],[special chars]]&amp;"]{"&amp;Table1[[#This Row],[Character min]]&amp;","&amp;Table1[[#This Row],[Character Limit]]-1&amp;"})([^_-]$)"</f>
        <v>^(?![_-])([a-zA-Z0-9_-]{1,62})([^_-]$)</v>
      </c>
      <c r="Y103" s="3" t="b">
        <f>matches(Z103,Table1[[#This Row],[Validation Expression]])</f>
        <v>0</v>
      </c>
    </row>
    <row r="104" spans="14:25" x14ac:dyDescent="0.2">
      <c r="N104" s="3" t="s">
        <v>363</v>
      </c>
      <c r="O104" s="3" t="s">
        <v>364</v>
      </c>
      <c r="P104" s="3" t="s">
        <v>364</v>
      </c>
      <c r="Q104" s="3" t="s">
        <v>57</v>
      </c>
      <c r="R104" s="3" t="s">
        <v>147</v>
      </c>
      <c r="S104" s="3">
        <v>1</v>
      </c>
      <c r="T104" s="3">
        <v>15</v>
      </c>
      <c r="U104" s="3" t="s">
        <v>105</v>
      </c>
      <c r="V104" s="3" t="s">
        <v>106</v>
      </c>
      <c r="W104" s="3" t="str">
        <f>"^(?![_-])([a-z"&amp; IF(Table1[[#This Row],[Casing]]="Insensitive","A-Z","")&amp;"0-9"&amp; Table1[[#This Row],[special chars]]&amp;"]{"&amp;Table1[[#This Row],[Character min]]&amp;","&amp;Table1[[#This Row],[Character Limit]]-1&amp;"})([^_-]$)"</f>
        <v>^(?![_-])([a-zA-Z0-9_-]{1,14})([^_-]$)</v>
      </c>
      <c r="Y104" s="3" t="b">
        <f>matches(Z104,Table1[[#This Row],[Validation Expression]])</f>
        <v>0</v>
      </c>
    </row>
    <row r="105" spans="14:25" x14ac:dyDescent="0.2">
      <c r="N105" s="3" t="s">
        <v>365</v>
      </c>
      <c r="O105" s="3" t="s">
        <v>366</v>
      </c>
      <c r="P105" s="3" t="s">
        <v>366</v>
      </c>
      <c r="Q105" s="3" t="s">
        <v>57</v>
      </c>
      <c r="R105" s="3" t="s">
        <v>147</v>
      </c>
      <c r="S105" s="3">
        <v>1</v>
      </c>
      <c r="T105" s="3">
        <v>64</v>
      </c>
      <c r="U105" s="3" t="s">
        <v>105</v>
      </c>
      <c r="V105" s="3" t="s">
        <v>121</v>
      </c>
      <c r="W105" s="3" t="str">
        <f>"^(?![_-])([a-z"&amp; IF(Table1[[#This Row],[Casing]]="Insensitive","A-Z","")&amp;"0-9"&amp; Table1[[#This Row],[special chars]]&amp;"]{"&amp;Table1[[#This Row],[Character min]]&amp;","&amp;Table1[[#This Row],[Character Limit]]-1&amp;"})([^_-]$)"</f>
        <v>^(?![_-])([a-zA-Z0-9-]{1,63})([^_-]$)</v>
      </c>
      <c r="Y105" s="3" t="b">
        <f>matches(Z105,Table1[[#This Row],[Validation Expression]])</f>
        <v>0</v>
      </c>
    </row>
    <row r="106" spans="14:25" x14ac:dyDescent="0.2">
      <c r="N106" s="3" t="s">
        <v>367</v>
      </c>
      <c r="O106" s="3" t="s">
        <v>368</v>
      </c>
      <c r="P106" s="3" t="s">
        <v>368</v>
      </c>
      <c r="Q106" s="3" t="s">
        <v>57</v>
      </c>
      <c r="R106" s="3" t="s">
        <v>147</v>
      </c>
      <c r="S106" s="3">
        <v>1</v>
      </c>
      <c r="T106" s="3">
        <v>15</v>
      </c>
      <c r="U106" s="3" t="s">
        <v>105</v>
      </c>
      <c r="V106" s="3" t="s">
        <v>106</v>
      </c>
      <c r="W106" s="3" t="str">
        <f>"^(?![_-])([a-z"&amp; IF(Table1[[#This Row],[Casing]]="Insensitive","A-Z","")&amp;"0-9"&amp; Table1[[#This Row],[special chars]]&amp;"]{"&amp;Table1[[#This Row],[Character min]]&amp;","&amp;Table1[[#This Row],[Character Limit]]-1&amp;"})([^_-]$)"</f>
        <v>^(?![_-])([a-zA-Z0-9_-]{1,14})([^_-]$)</v>
      </c>
      <c r="Y106" s="3" t="b">
        <f>matches(Z106,Table1[[#This Row],[Validation Expression]])</f>
        <v>0</v>
      </c>
    </row>
    <row r="107" spans="14:25" x14ac:dyDescent="0.2">
      <c r="N107" s="3" t="s">
        <v>369</v>
      </c>
      <c r="O107" s="3" t="s">
        <v>370</v>
      </c>
      <c r="P107" s="3" t="s">
        <v>370</v>
      </c>
      <c r="Q107" s="3" t="s">
        <v>57</v>
      </c>
      <c r="R107" s="3" t="s">
        <v>147</v>
      </c>
      <c r="S107" s="3">
        <v>1</v>
      </c>
      <c r="T107" s="3">
        <v>64</v>
      </c>
      <c r="U107" s="3" t="s">
        <v>105</v>
      </c>
      <c r="V107" s="3" t="s">
        <v>106</v>
      </c>
      <c r="W107" s="3" t="str">
        <f>"^(?![_-])([a-z"&amp; IF(Table1[[#This Row],[Casing]]="Insensitive","A-Z","")&amp;"0-9"&amp; Table1[[#This Row],[special chars]]&amp;"]{"&amp;Table1[[#This Row],[Character min]]&amp;","&amp;Table1[[#This Row],[Character Limit]]-1&amp;"})([^_-]$)"</f>
        <v>^(?![_-])([a-zA-Z0-9_-]{1,63})([^_-]$)</v>
      </c>
      <c r="Y107" s="3" t="b">
        <f>matches(Z107,Table1[[#This Row],[Validation Expression]])</f>
        <v>0</v>
      </c>
    </row>
    <row r="108" spans="14:25" x14ac:dyDescent="0.2">
      <c r="N108" s="3" t="s">
        <v>371</v>
      </c>
      <c r="O108" s="3" t="s">
        <v>372</v>
      </c>
      <c r="P108" s="3" t="s">
        <v>372</v>
      </c>
      <c r="Q108" s="3" t="s">
        <v>57</v>
      </c>
      <c r="R108" s="3" t="s">
        <v>147</v>
      </c>
      <c r="S108" s="3">
        <v>2</v>
      </c>
      <c r="T108" s="3">
        <v>64</v>
      </c>
      <c r="U108" s="3" t="s">
        <v>105</v>
      </c>
      <c r="V108" s="3" t="s">
        <v>148</v>
      </c>
      <c r="W108" s="3" t="str">
        <f>"^(?![_-])([a-z"&amp; IF(Table1[[#This Row],[Casing]]="Insensitive","A-Z","")&amp;"0-9"&amp; Table1[[#This Row],[special chars]]&amp;"]{"&amp;Table1[[#This Row],[Character min]]&amp;","&amp;Table1[[#This Row],[Character Limit]]-1&amp;"})([^_-]$)"</f>
        <v>^(?![_-])([a-zA-Z0-9_\.-]{2,63})([^_-]$)</v>
      </c>
      <c r="Y108" s="3" t="b">
        <f>matches(Z108,Table1[[#This Row],[Validation Expression]])</f>
        <v>0</v>
      </c>
    </row>
    <row r="109" spans="14:25" x14ac:dyDescent="0.2">
      <c r="N109" s="3" t="s">
        <v>373</v>
      </c>
      <c r="O109" s="3" t="s">
        <v>374</v>
      </c>
      <c r="P109" s="3" t="s">
        <v>374</v>
      </c>
      <c r="Q109" s="3" t="s">
        <v>57</v>
      </c>
      <c r="R109" s="3" t="s">
        <v>147</v>
      </c>
      <c r="S109" s="3">
        <v>1</v>
      </c>
      <c r="T109" s="3">
        <v>80</v>
      </c>
      <c r="U109" s="3" t="s">
        <v>105</v>
      </c>
      <c r="V109" s="3" t="s">
        <v>148</v>
      </c>
      <c r="W109" s="3" t="str">
        <f>"^(?![_-])([a-z"&amp; IF(Table1[[#This Row],[Casing]]="Insensitive","A-Z","")&amp;"0-9"&amp; Table1[[#This Row],[special chars]]&amp;"]{"&amp;Table1[[#This Row],[Character min]]&amp;","&amp;Table1[[#This Row],[Character Limit]]-1&amp;"})([^_-]$)"</f>
        <v>^(?![_-])([a-zA-Z0-9_\.-]{1,79})([^_-]$)</v>
      </c>
      <c r="Y109" s="3" t="b">
        <f>matches(Z109,Table1[[#This Row],[Validation Expression]])</f>
        <v>0</v>
      </c>
    </row>
    <row r="110" spans="14:25" x14ac:dyDescent="0.2">
      <c r="N110" s="3" t="s">
        <v>375</v>
      </c>
      <c r="O110" s="3" t="s">
        <v>376</v>
      </c>
      <c r="P110" s="3" t="s">
        <v>376</v>
      </c>
      <c r="Q110" s="3" t="s">
        <v>57</v>
      </c>
      <c r="S110" s="3">
        <v>1</v>
      </c>
      <c r="T110" s="3">
        <v>63</v>
      </c>
      <c r="U110" s="3" t="s">
        <v>105</v>
      </c>
      <c r="V110" s="3" t="s">
        <v>106</v>
      </c>
      <c r="W110" s="3" t="str">
        <f>"^(?![_-])([a-z"&amp; IF(Table1[[#This Row],[Casing]]="Insensitive","A-Z","")&amp;"0-9"&amp; Table1[[#This Row],[special chars]]&amp;"]{"&amp;Table1[[#This Row],[Character min]]&amp;","&amp;Table1[[#This Row],[Character Limit]]-1&amp;"})([^_-]$)"</f>
        <v>^(?![_-])([a-zA-Z0-9_-]{1,62})([^_-]$)</v>
      </c>
      <c r="Y110" s="3" t="b">
        <f>matches(Z110,Table1[[#This Row],[Validation Expression]])</f>
        <v>0</v>
      </c>
    </row>
    <row r="111" spans="14:25" x14ac:dyDescent="0.2">
      <c r="N111" s="3" t="s">
        <v>377</v>
      </c>
      <c r="O111" s="3" t="s">
        <v>378</v>
      </c>
      <c r="P111" s="3" t="s">
        <v>378</v>
      </c>
      <c r="Q111" s="3" t="s">
        <v>57</v>
      </c>
      <c r="S111" s="3">
        <v>1</v>
      </c>
      <c r="T111" s="3">
        <v>63</v>
      </c>
      <c r="U111" s="3" t="s">
        <v>105</v>
      </c>
      <c r="V111" s="3" t="s">
        <v>106</v>
      </c>
      <c r="W111" s="3" t="str">
        <f>"^(?![_-])([a-z"&amp; IF(Table1[[#This Row],[Casing]]="Insensitive","A-Z","")&amp;"0-9"&amp; Table1[[#This Row],[special chars]]&amp;"]{"&amp;Table1[[#This Row],[Character min]]&amp;","&amp;Table1[[#This Row],[Character Limit]]-1&amp;"})([^_-]$)"</f>
        <v>^(?![_-])([a-zA-Z0-9_-]{1,62})([^_-]$)</v>
      </c>
      <c r="Y111" s="3" t="b">
        <f>matches(Z111,Table1[[#This Row],[Validation Expression]])</f>
        <v>0</v>
      </c>
    </row>
    <row r="112" spans="14:25" x14ac:dyDescent="0.2">
      <c r="N112" s="3" t="s">
        <v>379</v>
      </c>
      <c r="O112" s="3" t="s">
        <v>123</v>
      </c>
      <c r="P112" s="3" t="s">
        <v>123</v>
      </c>
      <c r="Q112" s="3" t="s">
        <v>57</v>
      </c>
      <c r="R112" s="3" t="s">
        <v>147</v>
      </c>
      <c r="S112" s="3">
        <v>1</v>
      </c>
      <c r="T112" s="3">
        <v>80</v>
      </c>
      <c r="U112" s="3" t="s">
        <v>105</v>
      </c>
      <c r="V112" s="3" t="s">
        <v>148</v>
      </c>
      <c r="W112" s="3" t="str">
        <f>"^(?![_-])([a-z"&amp; IF(Table1[[#This Row],[Casing]]="Insensitive","A-Z","")&amp;"0-9"&amp; Table1[[#This Row],[special chars]]&amp;"]{"&amp;Table1[[#This Row],[Character min]]&amp;","&amp;Table1[[#This Row],[Character Limit]]-1&amp;"})([^_-]$)"</f>
        <v>^(?![_-])([a-zA-Z0-9_\.-]{1,79})([^_-]$)</v>
      </c>
      <c r="Y112" s="3" t="b">
        <f>matches(Z112,Table1[[#This Row],[Validation Expression]])</f>
        <v>0</v>
      </c>
    </row>
    <row r="113" spans="14:23" x14ac:dyDescent="0.2">
      <c r="N113" s="3" t="s">
        <v>59</v>
      </c>
      <c r="O113" s="3" t="s">
        <v>380</v>
      </c>
      <c r="P113" s="3" t="s">
        <v>380</v>
      </c>
      <c r="Q113" s="3" t="s">
        <v>114</v>
      </c>
      <c r="R113" s="3" t="s">
        <v>147</v>
      </c>
      <c r="S113" s="3">
        <v>2</v>
      </c>
      <c r="T113" s="3">
        <v>60</v>
      </c>
      <c r="U113" s="3" t="s">
        <v>105</v>
      </c>
      <c r="V113" s="21" t="s">
        <v>121</v>
      </c>
      <c r="W113" s="3" t="str">
        <f>"^(?![_-])([a-z"&amp; IF(Table1[[#This Row],[Casing]]="Insensitive","A-Z","")&amp;"0-9"&amp; Table1[[#This Row],[special chars]]&amp;"]{"&amp;Table1[[#This Row],[Character min]]&amp;","&amp;Table1[[#This Row],[Character Limit]]-1&amp;"})([^_-]$)"</f>
        <v>^(?![_-])([a-zA-Z0-9-]{2,59})([^_-]$)</v>
      </c>
    </row>
    <row r="114" spans="14:23" x14ac:dyDescent="0.2">
      <c r="N114" s="3" t="s">
        <v>381</v>
      </c>
      <c r="O114" s="3" t="s">
        <v>382</v>
      </c>
      <c r="P114" s="3" t="s">
        <v>382</v>
      </c>
      <c r="Q114" s="3" t="s">
        <v>57</v>
      </c>
      <c r="S114" s="3">
        <v>1</v>
      </c>
      <c r="T114" s="3">
        <v>63</v>
      </c>
      <c r="U114" s="3" t="s">
        <v>105</v>
      </c>
      <c r="V114" s="3" t="s">
        <v>106</v>
      </c>
      <c r="W114" s="3" t="str">
        <f>"^(?![_-])([a-z"&amp; IF(Table1[[#This Row],[Casing]]="Insensitive","A-Z","")&amp;"0-9"&amp; Table1[[#This Row],[special chars]]&amp;"]{"&amp;Table1[[#This Row],[Character min]]&amp;","&amp;Table1[[#This Row],[Character Limit]]-1&amp;"})([^_-]$)"</f>
        <v>^(?![_-])([a-zA-Z0-9_-]{1,62})([^_-]$)</v>
      </c>
    </row>
  </sheetData>
  <mergeCells count="7">
    <mergeCell ref="Y2:Z2"/>
    <mergeCell ref="B2:G2"/>
    <mergeCell ref="A1:G1"/>
    <mergeCell ref="J2:L2"/>
    <mergeCell ref="I1:L1"/>
    <mergeCell ref="N1:W1"/>
    <mergeCell ref="O2:W2"/>
  </mergeCells>
  <dataValidations count="1">
    <dataValidation type="list" allowBlank="1" showInputMessage="1" showErrorMessage="1" sqref="U4:U114" xr:uid="{5305CD91-27FA-4FF3-B7A3-DB4224F3BBF8}">
      <formula1>"Lower Case, Insensitive"</formula1>
    </dataValidation>
  </dataValidations>
  <pageMargins left="0.7" right="0.7" top="0.75" bottom="0.75" header="0.3" footer="0.3"/>
  <pageSetup orientation="portrait" horizontalDpi="4294967295" verticalDpi="4294967295"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5B5844ABEB556B48AEB9EFC3FDF1CDF6" ma:contentTypeVersion="15" ma:contentTypeDescription="Create a new document." ma:contentTypeScope="" ma:versionID="5ad9194e672e2e698ebb04f42d8fb2bb">
  <xsd:schema xmlns:xsd="http://www.w3.org/2001/XMLSchema" xmlns:xs="http://www.w3.org/2001/XMLSchema" xmlns:p="http://schemas.microsoft.com/office/2006/metadata/properties" xmlns:ns1="http://schemas.microsoft.com/sharepoint/v3" xmlns:ns2="230e9df3-be65-4c73-a93b-d1236ebd677e" xmlns:ns3="f811a117-6d1e-47fe-b25d-9c7115c0dad2" xmlns:ns4="95dde628-76a1-4664-b6c6-4b6a9bc35dcf" targetNamespace="http://schemas.microsoft.com/office/2006/metadata/properties" ma:root="true" ma:fieldsID="8009f7bc7ef51fb0efdbd1a0fb6103a3" ns1:_="" ns2:_="" ns3:_="" ns4:_="">
    <xsd:import namespace="http://schemas.microsoft.com/sharepoint/v3"/>
    <xsd:import namespace="230e9df3-be65-4c73-a93b-d1236ebd677e"/>
    <xsd:import namespace="f811a117-6d1e-47fe-b25d-9c7115c0dad2"/>
    <xsd:import namespace="95dde628-76a1-4664-b6c6-4b6a9bc35dcf"/>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4:SharedWithUsers" minOccurs="0"/>
                <xsd:element ref="ns4:SharedWithDetails" minOccurs="0"/>
                <xsd:element ref="ns3:MediaServiceAutoKeyPoints" minOccurs="0"/>
                <xsd:element ref="ns3:MediaServiceKeyPoints" minOccurs="0"/>
                <xsd:element ref="ns1:_ip_UnifiedCompliancePolicyProperties" minOccurs="0"/>
                <xsd:element ref="ns1:_ip_UnifiedCompliancePolicyUIAction" minOccurs="0"/>
                <xsd:element ref="ns3:MediaServiceDateTaken" minOccurs="0"/>
                <xsd:element ref="ns3:MediaLengthInSeconds" minOccurs="0"/>
                <xsd:element ref="ns3:lcf76f155ced4ddcb4097134ff3c332f"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7" nillable="true" ma:displayName="Unified Compliance Policy Properties" ma:hidden="true" ma:internalName="_ip_UnifiedCompliancePolicyProperties">
      <xsd:simpleType>
        <xsd:restriction base="dms:Note"/>
      </xsd:simpleType>
    </xsd:element>
    <xsd:element name="_ip_UnifiedCompliancePolicyUIAction" ma:index="18"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f811a117-6d1e-47fe-b25d-9c7115c0dad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DateTaken" ma:index="19" nillable="true" ma:displayName="MediaServiceDateTaken" ma:hidden="true" ma:internalName="MediaServiceDateTake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GenerationTime" ma:index="23" nillable="true" ma:displayName="MediaServiceGenerationTime" ma:hidden="true" ma:internalName="MediaServiceGenerationTime" ma:readOnly="true">
      <xsd:simpleType>
        <xsd:restriction base="dms:Text"/>
      </xsd:simpleType>
    </xsd:element>
    <xsd:element name="MediaServiceEventHashCode" ma:index="2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5dde628-76a1-4664-b6c6-4b6a9bc35dcf"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_dlc_DocId xmlns="230e9df3-be65-4c73-a93b-d1236ebd677e">DXAQ7JUHTKZJ-347038783-1170</_dlc_DocId>
    <_dlc_DocIdUrl xmlns="230e9df3-be65-4c73-a93b-d1236ebd677e">
      <Url>https://microsoft.sharepoint.com/teams/SEE-8886/_layouts/15/DocIdRedir.aspx?ID=DXAQ7JUHTKZJ-347038783-1170</Url>
      <Description>DXAQ7JUHTKZJ-347038783-1170</Description>
    </_dlc_DocIdUrl>
    <lcf76f155ced4ddcb4097134ff3c332f xmlns="f811a117-6d1e-47fe-b25d-9c7115c0dad2">
      <Terms xmlns="http://schemas.microsoft.com/office/infopath/2007/PartnerControls"/>
    </lcf76f155ced4ddcb4097134ff3c332f>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F667CF4-3090-4EC7-861A-7368EA959D74}">
  <ds:schemaRefs>
    <ds:schemaRef ds:uri="http://schemas.microsoft.com/sharepoint/events"/>
  </ds:schemaRefs>
</ds:datastoreItem>
</file>

<file path=customXml/itemProps2.xml><?xml version="1.0" encoding="utf-8"?>
<ds:datastoreItem xmlns:ds="http://schemas.openxmlformats.org/officeDocument/2006/customXml" ds:itemID="{34A183F1-9964-4BF2-9D7F-1F1FDF8039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30e9df3-be65-4c73-a93b-d1236ebd677e"/>
    <ds:schemaRef ds:uri="f811a117-6d1e-47fe-b25d-9c7115c0dad2"/>
    <ds:schemaRef ds:uri="95dde628-76a1-4664-b6c6-4b6a9bc35dc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EB1D185-4EED-4BD2-A2FD-DDB852043229}">
  <ds:schemaRefs>
    <ds:schemaRef ds:uri="http://schemas.microsoft.com/office/2006/metadata/properties"/>
    <ds:schemaRef ds:uri="http://schemas.microsoft.com/office/infopath/2007/PartnerControls"/>
    <ds:schemaRef ds:uri="http://schemas.microsoft.com/sharepoint/v3"/>
    <ds:schemaRef ds:uri="230e9df3-be65-4c73-a93b-d1236ebd677e"/>
    <ds:schemaRef ds:uri="f811a117-6d1e-47fe-b25d-9c7115c0dad2"/>
  </ds:schemaRefs>
</ds:datastoreItem>
</file>

<file path=customXml/itemProps4.xml><?xml version="1.0" encoding="utf-8"?>
<ds:datastoreItem xmlns:ds="http://schemas.openxmlformats.org/officeDocument/2006/customXml" ds:itemID="{63D15F0C-F718-4829-9E39-A8D0AA35FC02}">
  <ds:schemaRefs>
    <ds:schemaRef ds:uri="http://schemas.microsoft.com/sharepoint/v3/contenttype/forms"/>
  </ds:schemaRefs>
</ds:datastoreItem>
</file>

<file path=docMetadata/LabelInfo.xml><?xml version="1.0" encoding="utf-8"?>
<clbl:labelList xmlns:clbl="http://schemas.microsoft.com/office/2020/mipLabelMetadata">
  <clbl:label id="{f42aa342-8706-4288-bd11-ebb85995028c}" enabled="1" method="Privilege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Intro</vt:lpstr>
      <vt:lpstr>Data</vt:lpstr>
      <vt:lpstr>LookupLists</vt:lpstr>
      <vt:lpstr>Data!AzureResourceTypes</vt:lpstr>
      <vt:lpstr>AzureResourceTypes</vt:lpstr>
      <vt:lpstr>Data</vt:lpstr>
      <vt:lpstr>Integrations_Data</vt:lpstr>
      <vt:lpstr>IntegrationsDataTeam</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Nathan Smith</dc:creator>
  <cp:keywords/>
  <dc:description/>
  <cp:lastModifiedBy>Microsoft Office User</cp:lastModifiedBy>
  <cp:revision/>
  <dcterms:created xsi:type="dcterms:W3CDTF">2017-05-10T05:21:09Z</dcterms:created>
  <dcterms:modified xsi:type="dcterms:W3CDTF">2022-04-01T17:24:49Z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gumajchr@microsoft.com</vt:lpwstr>
  </property>
  <property fmtid="{D5CDD505-2E9C-101B-9397-08002B2CF9AE}" pid="5" name="MSIP_Label_f42aa342-8706-4288-bd11-ebb85995028c_SetDate">
    <vt:lpwstr>2019-05-01T11:32:38.1545435Z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ActionId">
    <vt:lpwstr>1f5f623f-bdd4-469e-b49e-6638de7a50ed</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y fmtid="{D5CDD505-2E9C-101B-9397-08002B2CF9AE}" pid="11" name="ContentTypeId">
    <vt:lpwstr>0x0101005B5844ABEB556B48AEB9EFC3FDF1CDF6</vt:lpwstr>
  </property>
  <property fmtid="{D5CDD505-2E9C-101B-9397-08002B2CF9AE}" pid="12" name="_dlc_DocIdItemGuid">
    <vt:lpwstr>21eff6a8-b8be-44ba-aa00-328b90bbc08f</vt:lpwstr>
  </property>
  <property fmtid="{D5CDD505-2E9C-101B-9397-08002B2CF9AE}" pid="13" name="p7ae7c99891b404d9a873cd3c41a01e4">
    <vt:lpwstr/>
  </property>
  <property fmtid="{D5CDD505-2E9C-101B-9397-08002B2CF9AE}" pid="14" name="ServicesDomain">
    <vt:lpwstr/>
  </property>
  <property fmtid="{D5CDD505-2E9C-101B-9397-08002B2CF9AE}" pid="15" name="VerticalIndustries">
    <vt:lpwstr/>
  </property>
  <property fmtid="{D5CDD505-2E9C-101B-9397-08002B2CF9AE}" pid="16" name="ServicesBusinessScenario">
    <vt:lpwstr/>
  </property>
  <property fmtid="{D5CDD505-2E9C-101B-9397-08002B2CF9AE}" pid="17" name="MediaServiceImageTags">
    <vt:lpwstr/>
  </property>
  <property fmtid="{D5CDD505-2E9C-101B-9397-08002B2CF9AE}" pid="18" name="bc28b5f076654a3b96073bbbebfeb8c9">
    <vt:lpwstr/>
  </property>
  <property fmtid="{D5CDD505-2E9C-101B-9397-08002B2CF9AE}" pid="19" name="CodeKeywords">
    <vt:lpwstr/>
  </property>
  <property fmtid="{D5CDD505-2E9C-101B-9397-08002B2CF9AE}" pid="20" name="p26d0941c95b4632829814c66f0e8c72">
    <vt:lpwstr/>
  </property>
  <property fmtid="{D5CDD505-2E9C-101B-9397-08002B2CF9AE}" pid="21" name="MSProducts">
    <vt:lpwstr/>
  </property>
  <property fmtid="{D5CDD505-2E9C-101B-9397-08002B2CF9AE}" pid="22" name="m74a2925250f485f9486ed3f97e2a6b3">
    <vt:lpwstr/>
  </property>
  <property fmtid="{D5CDD505-2E9C-101B-9397-08002B2CF9AE}" pid="23" name="ServicesIPTypes">
    <vt:lpwstr/>
  </property>
  <property fmtid="{D5CDD505-2E9C-101B-9397-08002B2CF9AE}" pid="24" name="g6775e77a6d84637a29014d883a4378a">
    <vt:lpwstr/>
  </property>
  <property fmtid="{D5CDD505-2E9C-101B-9397-08002B2CF9AE}" pid="25" name="af1f5bfae61e4243aac9966cb19580e1">
    <vt:lpwstr/>
  </property>
  <property fmtid="{D5CDD505-2E9C-101B-9397-08002B2CF9AE}" pid="26" name="MSProductsTaxHTField0">
    <vt:lpwstr/>
  </property>
  <property fmtid="{D5CDD505-2E9C-101B-9397-08002B2CF9AE}" pid="27" name="ServicesCommunities">
    <vt:lpwstr/>
  </property>
  <property fmtid="{D5CDD505-2E9C-101B-9397-08002B2CF9AE}" pid="28" name="DevelopmentLanguages">
    <vt:lpwstr/>
  </property>
  <property fmtid="{D5CDD505-2E9C-101B-9397-08002B2CF9AE}" pid="29" name="MSLanguage">
    <vt:lpwstr/>
  </property>
  <property fmtid="{D5CDD505-2E9C-101B-9397-08002B2CF9AE}" pid="30" name="fbc3fc07245d4d4d97685e71074b9827">
    <vt:lpwstr/>
  </property>
  <property fmtid="{D5CDD505-2E9C-101B-9397-08002B2CF9AE}" pid="31" name="oad7af80ad0f4ba99bb03b3894ab533c">
    <vt:lpwstr/>
  </property>
  <property fmtid="{D5CDD505-2E9C-101B-9397-08002B2CF9AE}" pid="32" name="TaxCatchAll">
    <vt:lpwstr/>
  </property>
</Properties>
</file>